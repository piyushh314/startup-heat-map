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ate_Summary" sheetId="2" state="visible" r:id="rId4"/>
    <sheet name="State_Official" sheetId="3" state="visible" r:id="rId5"/>
    <sheet name="City_District" sheetId="4" state="visible" r:id="rId6"/>
  </sheets>
  <definedNames>
    <definedName function="false" hidden="true" localSheetId="3" name="_xlnm._FilterDatabase" vbProcedure="false">City_District!$A$4:$G$716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<sst xmlns="http://schemas.openxmlformats.org/spreadsheetml/2006/main" count="1549" uniqueCount="795">
  <si>
    <t xml:space="preserve">India Startups: State-wise and City-wise Counts</t>
  </si>
  <si>
    <t xml:space="preserve">SHEET State_Official  (authentic, government data)</t>
  </si>
  <si>
    <t xml:space="preserve">Startups recognised by DPIIT, state/UT-wise, as on 30 June 2026. Total 2,40,092.</t>
  </si>
  <si>
    <t xml:space="preserve">Source: Lok Sabha Unstarred Question No. 1446, answered 28 July 2026, Ministry of Commerce &amp; Industry (DPIIT), Annexure-I.</t>
  </si>
  <si>
    <t xml:space="preserve">https://sansad.in/getFile/lsapps/loksabhaquestions/annex/188/AU1446_N4i3CT.pdf</t>
  </si>
  <si>
    <t xml:space="preserve">All 36 state/UT values add up exactly to the official total (check cell on that sheet).</t>
  </si>
  <si>
    <t xml:space="preserve">SHEET City_District  (portal register, NOT the same base as State_Official)</t>
  </si>
  <si>
    <t xml:space="preserve">Number of startups registered on the Startup India portal in each district/city, 712 districts, snapshot Aug 2026.</t>
  </si>
  <si>
    <t xml:space="preserve">Source: indianstartupmap.com/cities (independent site, reproduces the Startup India portal register). Not published by the Government itself.</t>
  </si>
  <si>
    <t xml:space="preserve">IMPORTANT: this register has 4,53,192 companies, but only about 2,31,835 are DPIIT recognised. So city counts here are higher than the official recognised numbers.</t>
  </si>
  <si>
    <t xml:space="preserve">DPIIT-recognised count per city is published only for the top 12 cities (column D of City_District). The rest are not available for free from any public source.</t>
  </si>
  <si>
    <t xml:space="preserve">Startup India records a district, not a city. Cities are listed under their district. Names are kept exactly as published, so a few duplicates exist</t>
  </si>
  <si>
    <t xml:space="preserve">(e.g. Ahmedabad / Ahmadabad, Bokaro / Bokaro Steel City, Visakhapatnam / Visakhapatanam, Nellore / Spsr Nellore, Kamrup / Guwahati). They are NOT merged to keep the data authentic.</t>
  </si>
  <si>
    <t xml:space="preserve">Only districts with 25+ registered startups are listed (443,519 of 453,192 companies).</t>
  </si>
  <si>
    <t xml:space="preserve">SHEET State_Summary</t>
  </si>
  <si>
    <t xml:space="preserve">Side by side: official DPIIT count (State_Official), portal-register count (sum of listed districts from City_District), top city and its share. All formulas.</t>
  </si>
  <si>
    <t xml:space="preserve">HOW TO READ</t>
  </si>
  <si>
    <t xml:space="preserve">Blue numbers = raw source data typed in. Black = formulas.</t>
  </si>
  <si>
    <t xml:space="preserve">Do not compare State_Official and City_District numbers as like for like. Use State_Official for 'how many recognised startups per state', City_District for 'where inside a state they cluster'.</t>
  </si>
  <si>
    <t xml:space="preserve">Registration is not an operating signal. Many registered startups are dormant or closed (MCA lists 6,789 closed among 2,12,283 recognised as of 31 Jan 2026).</t>
  </si>
  <si>
    <t xml:space="preserve">State summary: official DPIIT count vs portal-register city data</t>
  </si>
  <si>
    <t xml:space="preserve">Column B is official (30 Jun 2026). Columns C to G come from the portal register (Aug 2026) and are a different base. Do not divide one by the other.</t>
  </si>
  <si>
    <t xml:space="preserve">State / UT</t>
  </si>
  <si>
    <t xml:space="preserve">DPIIT recognised (official)</t>
  </si>
  <si>
    <t xml:space="preserve">Portal-register startups (sum of listed districts)</t>
  </si>
  <si>
    <t xml:space="preserve">Districts listed</t>
  </si>
  <si>
    <t xml:space="preserve">Biggest city/district</t>
  </si>
  <si>
    <t xml:space="preserve">Its registered startups</t>
  </si>
  <si>
    <t xml:space="preserve">Biggest city share of state's listed total</t>
  </si>
  <si>
    <t xml:space="preserve">Maharashtra</t>
  </si>
  <si>
    <t xml:space="preserve">Karnataka</t>
  </si>
  <si>
    <t xml:space="preserve">Uttar Pradesh</t>
  </si>
  <si>
    <t xml:space="preserve">Delhi</t>
  </si>
  <si>
    <t xml:space="preserve">Gujarat</t>
  </si>
  <si>
    <t xml:space="preserve">Tamil Nadu</t>
  </si>
  <si>
    <t xml:space="preserve">Telangana</t>
  </si>
  <si>
    <t xml:space="preserve">Haryana</t>
  </si>
  <si>
    <t xml:space="preserve">Kerala</t>
  </si>
  <si>
    <t xml:space="preserve">Rajasthan</t>
  </si>
  <si>
    <t xml:space="preserve">Madhya Pradesh</t>
  </si>
  <si>
    <t xml:space="preserve">West Bengal</t>
  </si>
  <si>
    <t xml:space="preserve">Bihar</t>
  </si>
  <si>
    <t xml:space="preserve">Andhra Pradesh</t>
  </si>
  <si>
    <t xml:space="preserve">Odisha</t>
  </si>
  <si>
    <t xml:space="preserve">Punjab</t>
  </si>
  <si>
    <t xml:space="preserve">Chhattisgarh</t>
  </si>
  <si>
    <t xml:space="preserve">Assam</t>
  </si>
  <si>
    <t xml:space="preserve">Jharkhand</t>
  </si>
  <si>
    <t xml:space="preserve">Uttarakhand</t>
  </si>
  <si>
    <t xml:space="preserve">Jammu and Kashmir</t>
  </si>
  <si>
    <t xml:space="preserve">Himachal Pradesh</t>
  </si>
  <si>
    <t xml:space="preserve">Goa</t>
  </si>
  <si>
    <t xml:space="preserve">Chandigarh</t>
  </si>
  <si>
    <t xml:space="preserve">Manipur</t>
  </si>
  <si>
    <t xml:space="preserve">Puducherry</t>
  </si>
  <si>
    <t xml:space="preserve">Tripura</t>
  </si>
  <si>
    <t xml:space="preserve">Nagaland</t>
  </si>
  <si>
    <t xml:space="preserve">Andaman and Nicobar Islands</t>
  </si>
  <si>
    <t xml:space="preserve">Meghalaya</t>
  </si>
  <si>
    <t xml:space="preserve">Arunachal Pradesh</t>
  </si>
  <si>
    <t xml:space="preserve">Dadra and Nagar Haveli and Daman and Diu</t>
  </si>
  <si>
    <t xml:space="preserve">Mizoram</t>
  </si>
  <si>
    <t xml:space="preserve">Ladakh</t>
  </si>
  <si>
    <t xml:space="preserve">Sikkim</t>
  </si>
  <si>
    <t xml:space="preserve">Lakshadweep</t>
  </si>
  <si>
    <t xml:space="preserve">Total</t>
  </si>
  <si>
    <t xml:space="preserve">Note: 'Biggest city/district' is the top row for that state in City_District (data is sorted high to low within each state).</t>
  </si>
  <si>
    <t xml:space="preserve">Delhi: the portal lists 'Delhi' as one district plus 9 sub-districts (South, East, West...), so Delhi's biggest 'city' is just the whole of Delhi.</t>
  </si>
  <si>
    <t xml:space="preserve">DPIIT-recognised startups by State/UT, as on 30 June 2026</t>
  </si>
  <si>
    <t xml:space="preserve">Source: Lok Sabha Unstarred Q.1446 (28 Jul 2026), DPIIT, Annexure-I</t>
  </si>
  <si>
    <t xml:space="preserve">Rank</t>
  </si>
  <si>
    <t xml:space="preserve">DPIIT recognised startups</t>
  </si>
  <si>
    <t xml:space="preserve">% of India total</t>
  </si>
  <si>
    <t xml:space="preserve">Total (sum of states)</t>
  </si>
  <si>
    <t xml:space="preserve">Official national total (as stated in reply)</t>
  </si>
  <si>
    <t xml:space="preserve">Check: difference (should be 0)</t>
  </si>
  <si>
    <t xml:space="preserve">Startups registered on the Startup India portal, by district/city (snapshot Aug 2026)</t>
  </si>
  <si>
    <t xml:space="preserve">Source: indianstartupmap.com/cities, built from the Startup India register. Registered != DPIIT recognised. Districts with 25+ startups only.</t>
  </si>
  <si>
    <t xml:space="preserve">City / District (as published)</t>
  </si>
  <si>
    <t xml:space="preserve">Registered startups on portal</t>
  </si>
  <si>
    <t xml:space="preserve">DPIIT recognised (top 12 cities only)</t>
  </si>
  <si>
    <t xml:space="preserve">Rank in India</t>
  </si>
  <si>
    <t xml:space="preserve">Rank in state</t>
  </si>
  <si>
    <t xml:space="preserve">% of state's listed total</t>
  </si>
  <si>
    <t xml:space="preserve">Mumbai</t>
  </si>
  <si>
    <t xml:space="preserve">Pune</t>
  </si>
  <si>
    <t xml:space="preserve">Nagpur</t>
  </si>
  <si>
    <t xml:space="preserve">Nashik</t>
  </si>
  <si>
    <t xml:space="preserve">Aurangabad</t>
  </si>
  <si>
    <t xml:space="preserve">Raigad</t>
  </si>
  <si>
    <t xml:space="preserve">Kolhapur</t>
  </si>
  <si>
    <t xml:space="preserve">Ahmednagar</t>
  </si>
  <si>
    <t xml:space="preserve">Solapur</t>
  </si>
  <si>
    <t xml:space="preserve">Sangli</t>
  </si>
  <si>
    <t xml:space="preserve">Jalgaon</t>
  </si>
  <si>
    <t xml:space="preserve">Amravati</t>
  </si>
  <si>
    <t xml:space="preserve">Satara</t>
  </si>
  <si>
    <t xml:space="preserve">Nanded</t>
  </si>
  <si>
    <t xml:space="preserve">Latur</t>
  </si>
  <si>
    <t xml:space="preserve">Akola</t>
  </si>
  <si>
    <t xml:space="preserve">Dhule</t>
  </si>
  <si>
    <t xml:space="preserve">Chandrapur</t>
  </si>
  <si>
    <t xml:space="preserve">Beed</t>
  </si>
  <si>
    <t xml:space="preserve">Buldhana</t>
  </si>
  <si>
    <t xml:space="preserve">Jalna</t>
  </si>
  <si>
    <t xml:space="preserve">Yavatmal</t>
  </si>
  <si>
    <t xml:space="preserve">Wardha</t>
  </si>
  <si>
    <t xml:space="preserve">Parbhani</t>
  </si>
  <si>
    <t xml:space="preserve">Osmanabad</t>
  </si>
  <si>
    <t xml:space="preserve">Ratnagiri</t>
  </si>
  <si>
    <t xml:space="preserve">Bhandara</t>
  </si>
  <si>
    <t xml:space="preserve">Gondia</t>
  </si>
  <si>
    <t xml:space="preserve">Nandurbar</t>
  </si>
  <si>
    <t xml:space="preserve">Mira-Bhayandar</t>
  </si>
  <si>
    <t xml:space="preserve">Nanded-Waghala</t>
  </si>
  <si>
    <t xml:space="preserve">Sindhudurg</t>
  </si>
  <si>
    <t xml:space="preserve">Bhiwandi</t>
  </si>
  <si>
    <t xml:space="preserve">Washim</t>
  </si>
  <si>
    <t xml:space="preserve">Hingoli</t>
  </si>
  <si>
    <t xml:space="preserve">Gadchiroli</t>
  </si>
  <si>
    <t xml:space="preserve">Baramati</t>
  </si>
  <si>
    <t xml:space="preserve">Karad</t>
  </si>
  <si>
    <t xml:space="preserve">Ichalkaranji</t>
  </si>
  <si>
    <t xml:space="preserve">Achalpur</t>
  </si>
  <si>
    <t xml:space="preserve">Karjat</t>
  </si>
  <si>
    <t xml:space="preserve">Malegaon</t>
  </si>
  <si>
    <t xml:space="preserve">Sangamner</t>
  </si>
  <si>
    <t xml:space="preserve">Noida</t>
  </si>
  <si>
    <t xml:space="preserve">Lucknow</t>
  </si>
  <si>
    <t xml:space="preserve">Ghaziabad</t>
  </si>
  <si>
    <t xml:space="preserve">Kanpur</t>
  </si>
  <si>
    <t xml:space="preserve">Varanasi</t>
  </si>
  <si>
    <t xml:space="preserve">Agra</t>
  </si>
  <si>
    <t xml:space="preserve">Prayagraj</t>
  </si>
  <si>
    <t xml:space="preserve">Meerut</t>
  </si>
  <si>
    <t xml:space="preserve">Gorakhpur</t>
  </si>
  <si>
    <t xml:space="preserve">Bareilly</t>
  </si>
  <si>
    <t xml:space="preserve">Mathura</t>
  </si>
  <si>
    <t xml:space="preserve">Jhansi</t>
  </si>
  <si>
    <t xml:space="preserve">Moradabad</t>
  </si>
  <si>
    <t xml:space="preserve">Aligarh</t>
  </si>
  <si>
    <t xml:space="preserve">Saharanpur</t>
  </si>
  <si>
    <t xml:space="preserve">Muzaffarnagar</t>
  </si>
  <si>
    <t xml:space="preserve">Bulandshahr</t>
  </si>
  <si>
    <t xml:space="preserve">Azamgarh</t>
  </si>
  <si>
    <t xml:space="preserve">Jaunpur</t>
  </si>
  <si>
    <t xml:space="preserve">Auraiya</t>
  </si>
  <si>
    <t xml:space="preserve">Mirzapur</t>
  </si>
  <si>
    <t xml:space="preserve">Bijnor</t>
  </si>
  <si>
    <t xml:space="preserve">Firozabad</t>
  </si>
  <si>
    <t xml:space="preserve">Etawah</t>
  </si>
  <si>
    <t xml:space="preserve">Deoria</t>
  </si>
  <si>
    <t xml:space="preserve">Sultanpur</t>
  </si>
  <si>
    <t xml:space="preserve">Pratapgarh</t>
  </si>
  <si>
    <t xml:space="preserve">Hapur</t>
  </si>
  <si>
    <t xml:space="preserve">Unnao</t>
  </si>
  <si>
    <t xml:space="preserve">Raebareli</t>
  </si>
  <si>
    <t xml:space="preserve">Shahjahanpur</t>
  </si>
  <si>
    <t xml:space="preserve">Ghazipur</t>
  </si>
  <si>
    <t xml:space="preserve">Gonda</t>
  </si>
  <si>
    <t xml:space="preserve">Ayodhya</t>
  </si>
  <si>
    <t xml:space="preserve">Ballia</t>
  </si>
  <si>
    <t xml:space="preserve">Kushinagar</t>
  </si>
  <si>
    <t xml:space="preserve">Rampur</t>
  </si>
  <si>
    <t xml:space="preserve">Barabanki</t>
  </si>
  <si>
    <t xml:space="preserve">Lakhimpur</t>
  </si>
  <si>
    <t xml:space="preserve">Sitapur</t>
  </si>
  <si>
    <t xml:space="preserve">Fatehpur</t>
  </si>
  <si>
    <t xml:space="preserve">Basti</t>
  </si>
  <si>
    <t xml:space="preserve">Amroha</t>
  </si>
  <si>
    <t xml:space="preserve">Sonbhadra</t>
  </si>
  <si>
    <t xml:space="preserve">Hardoi</t>
  </si>
  <si>
    <t xml:space="preserve">Hathras</t>
  </si>
  <si>
    <t xml:space="preserve">Mainpuri</t>
  </si>
  <si>
    <t xml:space="preserve">Chandauli</t>
  </si>
  <si>
    <t xml:space="preserve">Baghpat</t>
  </si>
  <si>
    <t xml:space="preserve">Faizabad</t>
  </si>
  <si>
    <t xml:space="preserve">Bahraich</t>
  </si>
  <si>
    <t xml:space="preserve">Banda</t>
  </si>
  <si>
    <t xml:space="preserve">Ambedkar Nagar</t>
  </si>
  <si>
    <t xml:space="preserve">Kannauj</t>
  </si>
  <si>
    <t xml:space="preserve">Bhadohi</t>
  </si>
  <si>
    <t xml:space="preserve">Maharajganj</t>
  </si>
  <si>
    <t xml:space="preserve">Pilibhit</t>
  </si>
  <si>
    <t xml:space="preserve">Shamli</t>
  </si>
  <si>
    <t xml:space="preserve">Budaun</t>
  </si>
  <si>
    <t xml:space="preserve">Mau</t>
  </si>
  <si>
    <t xml:space="preserve">Etah</t>
  </si>
  <si>
    <t xml:space="preserve">Amethi</t>
  </si>
  <si>
    <t xml:space="preserve">Farrukhabad</t>
  </si>
  <si>
    <t xml:space="preserve">Lalitpur</t>
  </si>
  <si>
    <t xml:space="preserve">Jalaun</t>
  </si>
  <si>
    <t xml:space="preserve">Kheri</t>
  </si>
  <si>
    <t xml:space="preserve">Sambhal</t>
  </si>
  <si>
    <t xml:space="preserve">Kaushambi</t>
  </si>
  <si>
    <t xml:space="preserve">Sant Kabir Nagar</t>
  </si>
  <si>
    <t xml:space="preserve">Siddharth Nagar</t>
  </si>
  <si>
    <t xml:space="preserve">Orai</t>
  </si>
  <si>
    <t xml:space="preserve">Hamirpur (Up)</t>
  </si>
  <si>
    <t xml:space="preserve">Modinagar</t>
  </si>
  <si>
    <t xml:space="preserve">Chitrakoot</t>
  </si>
  <si>
    <t xml:space="preserve">Balrampur (Up)</t>
  </si>
  <si>
    <t xml:space="preserve">Mahoba</t>
  </si>
  <si>
    <t xml:space="preserve">Kasganj</t>
  </si>
  <si>
    <t xml:space="preserve">South</t>
  </si>
  <si>
    <t xml:space="preserve">East</t>
  </si>
  <si>
    <t xml:space="preserve">West</t>
  </si>
  <si>
    <t xml:space="preserve">South East</t>
  </si>
  <si>
    <t xml:space="preserve">South West</t>
  </si>
  <si>
    <t xml:space="preserve">North West</t>
  </si>
  <si>
    <t xml:space="preserve">Central</t>
  </si>
  <si>
    <t xml:space="preserve">North</t>
  </si>
  <si>
    <t xml:space="preserve">North East</t>
  </si>
  <si>
    <t xml:space="preserve">Bengaluru</t>
  </si>
  <si>
    <t xml:space="preserve">Mysuru</t>
  </si>
  <si>
    <t xml:space="preserve">Mangaluru</t>
  </si>
  <si>
    <t xml:space="preserve">Dharwad</t>
  </si>
  <si>
    <t xml:space="preserve">Belagavi</t>
  </si>
  <si>
    <t xml:space="preserve">Udupi</t>
  </si>
  <si>
    <t xml:space="preserve">Tumakuru</t>
  </si>
  <si>
    <t xml:space="preserve">Shivamogga</t>
  </si>
  <si>
    <t xml:space="preserve">Vijayapura</t>
  </si>
  <si>
    <t xml:space="preserve">Ballari</t>
  </si>
  <si>
    <t xml:space="preserve">Kalaburagi</t>
  </si>
  <si>
    <t xml:space="preserve">Davanagere</t>
  </si>
  <si>
    <t xml:space="preserve">Hassan</t>
  </si>
  <si>
    <t xml:space="preserve">Kolar</t>
  </si>
  <si>
    <t xml:space="preserve">Bidar</t>
  </si>
  <si>
    <t xml:space="preserve">Uttara Kannada</t>
  </si>
  <si>
    <t xml:space="preserve">Chikkamagaluru</t>
  </si>
  <si>
    <t xml:space="preserve">Mandya</t>
  </si>
  <si>
    <t xml:space="preserve">Bagalkot</t>
  </si>
  <si>
    <t xml:space="preserve">Chitradurga</t>
  </si>
  <si>
    <t xml:space="preserve">Raichur</t>
  </si>
  <si>
    <t xml:space="preserve">Ramanagaram</t>
  </si>
  <si>
    <t xml:space="preserve">Haveri</t>
  </si>
  <si>
    <t xml:space="preserve">Gadag</t>
  </si>
  <si>
    <t xml:space="preserve">Koppal</t>
  </si>
  <si>
    <t xml:space="preserve">Kodagu</t>
  </si>
  <si>
    <t xml:space="preserve">Chikkaballapur</t>
  </si>
  <si>
    <t xml:space="preserve">Karwar</t>
  </si>
  <si>
    <t xml:space="preserve">Bagalkote</t>
  </si>
  <si>
    <t xml:space="preserve">Yadgir</t>
  </si>
  <si>
    <t xml:space="preserve">Puttur</t>
  </si>
  <si>
    <t xml:space="preserve">Sirsi</t>
  </si>
  <si>
    <t xml:space="preserve">Chamarajanagar</t>
  </si>
  <si>
    <t xml:space="preserve">Chikballapur</t>
  </si>
  <si>
    <t xml:space="preserve">Ahmedabad</t>
  </si>
  <si>
    <t xml:space="preserve">Surat</t>
  </si>
  <si>
    <t xml:space="preserve">Vadodara</t>
  </si>
  <si>
    <t xml:space="preserve">Rajkot</t>
  </si>
  <si>
    <t xml:space="preserve">Mehsana</t>
  </si>
  <si>
    <t xml:space="preserve">Jamnagar</t>
  </si>
  <si>
    <t xml:space="preserve">Bhavnagar</t>
  </si>
  <si>
    <t xml:space="preserve">Anand</t>
  </si>
  <si>
    <t xml:space="preserve">Valsad</t>
  </si>
  <si>
    <t xml:space="preserve">Bharuch</t>
  </si>
  <si>
    <t xml:space="preserve">Kachchh</t>
  </si>
  <si>
    <t xml:space="preserve">Junagadh</t>
  </si>
  <si>
    <t xml:space="preserve">Banaskantha</t>
  </si>
  <si>
    <t xml:space="preserve">Morbi</t>
  </si>
  <si>
    <t xml:space="preserve">Navsari</t>
  </si>
  <si>
    <t xml:space="preserve">Sabarkantha</t>
  </si>
  <si>
    <t xml:space="preserve">Vapi</t>
  </si>
  <si>
    <t xml:space="preserve">Amreli</t>
  </si>
  <si>
    <t xml:space="preserve">Kheda</t>
  </si>
  <si>
    <t xml:space="preserve">Surendranagar</t>
  </si>
  <si>
    <t xml:space="preserve">Patan</t>
  </si>
  <si>
    <t xml:space="preserve">Bhuj</t>
  </si>
  <si>
    <t xml:space="preserve">Porbandar</t>
  </si>
  <si>
    <t xml:space="preserve">Ankleshwar</t>
  </si>
  <si>
    <t xml:space="preserve">Panchmahal</t>
  </si>
  <si>
    <t xml:space="preserve">Palanpur</t>
  </si>
  <si>
    <t xml:space="preserve">Ahmadabad</t>
  </si>
  <si>
    <t xml:space="preserve">Nadiad</t>
  </si>
  <si>
    <t xml:space="preserve">Dahod</t>
  </si>
  <si>
    <t xml:space="preserve">Anjar</t>
  </si>
  <si>
    <t xml:space="preserve">Gir Somnath</t>
  </si>
  <si>
    <t xml:space="preserve">Godhra</t>
  </si>
  <si>
    <t xml:space="preserve">Adalaj</t>
  </si>
  <si>
    <t xml:space="preserve">Botad</t>
  </si>
  <si>
    <t xml:space="preserve">Devbhumi Dwarka</t>
  </si>
  <si>
    <t xml:space="preserve">Modasa</t>
  </si>
  <si>
    <t xml:space="preserve">Veraval</t>
  </si>
  <si>
    <t xml:space="preserve">Tapi</t>
  </si>
  <si>
    <t xml:space="preserve">Aravalli</t>
  </si>
  <si>
    <t xml:space="preserve">Kadi</t>
  </si>
  <si>
    <t xml:space="preserve">Visnagar</t>
  </si>
  <si>
    <t xml:space="preserve">Deesa</t>
  </si>
  <si>
    <t xml:space="preserve">Chennai</t>
  </si>
  <si>
    <t xml:space="preserve">Coimbatore</t>
  </si>
  <si>
    <t xml:space="preserve">Madurai</t>
  </si>
  <si>
    <t xml:space="preserve">Salem</t>
  </si>
  <si>
    <t xml:space="preserve">Tiruchirappalli</t>
  </si>
  <si>
    <t xml:space="preserve">Erode</t>
  </si>
  <si>
    <t xml:space="preserve">Tiruppur</t>
  </si>
  <si>
    <t xml:space="preserve">Krishnagiri</t>
  </si>
  <si>
    <t xml:space="preserve">Thanjavur</t>
  </si>
  <si>
    <t xml:space="preserve">Vellore</t>
  </si>
  <si>
    <t xml:space="preserve">Namakkal</t>
  </si>
  <si>
    <t xml:space="preserve">Tirunelveli</t>
  </si>
  <si>
    <t xml:space="preserve">Kanyakumari</t>
  </si>
  <si>
    <t xml:space="preserve">Cuddalore</t>
  </si>
  <si>
    <t xml:space="preserve">Thoothukudi</t>
  </si>
  <si>
    <t xml:space="preserve">Dindigul</t>
  </si>
  <si>
    <t xml:space="preserve">Viluppuram</t>
  </si>
  <si>
    <t xml:space="preserve">Karur</t>
  </si>
  <si>
    <t xml:space="preserve">Virudhunagar</t>
  </si>
  <si>
    <t xml:space="preserve">Sivaganga</t>
  </si>
  <si>
    <t xml:space="preserve">Tiruvannamalai</t>
  </si>
  <si>
    <t xml:space="preserve">Theni</t>
  </si>
  <si>
    <t xml:space="preserve">Nagercoil</t>
  </si>
  <si>
    <t xml:space="preserve">Dharmapuri</t>
  </si>
  <si>
    <t xml:space="preserve">Pudukkottai</t>
  </si>
  <si>
    <t xml:space="preserve">The Nilgiris</t>
  </si>
  <si>
    <t xml:space="preserve">Nagapattinam</t>
  </si>
  <si>
    <t xml:space="preserve">Ramanathapuram</t>
  </si>
  <si>
    <t xml:space="preserve">Tiruvarur</t>
  </si>
  <si>
    <t xml:space="preserve">Ranipet</t>
  </si>
  <si>
    <t xml:space="preserve">Tenkasi</t>
  </si>
  <si>
    <t xml:space="preserve">Sivakasi</t>
  </si>
  <si>
    <t xml:space="preserve">Tirupathur</t>
  </si>
  <si>
    <t xml:space="preserve">Ariyalur</t>
  </si>
  <si>
    <t xml:space="preserve">Arakkonam</t>
  </si>
  <si>
    <t xml:space="preserve">Perambalur</t>
  </si>
  <si>
    <t xml:space="preserve">Nandivaram-Guduvancheri</t>
  </si>
  <si>
    <t xml:space="preserve">Pollachi</t>
  </si>
  <si>
    <t xml:space="preserve">Rajapalayam</t>
  </si>
  <si>
    <t xml:space="preserve">Gobichettipalayam</t>
  </si>
  <si>
    <t xml:space="preserve">Udumalaipettai</t>
  </si>
  <si>
    <t xml:space="preserve">Udhagamandalam</t>
  </si>
  <si>
    <t xml:space="preserve">Hyderabad</t>
  </si>
  <si>
    <t xml:space="preserve">Warangal</t>
  </si>
  <si>
    <t xml:space="preserve">Medak</t>
  </si>
  <si>
    <t xml:space="preserve">Sangareddy</t>
  </si>
  <si>
    <t xml:space="preserve">Karimnagar</t>
  </si>
  <si>
    <t xml:space="preserve">Khammam</t>
  </si>
  <si>
    <t xml:space="preserve">Nizamabad</t>
  </si>
  <si>
    <t xml:space="preserve">Adilabad</t>
  </si>
  <si>
    <t xml:space="preserve">Nalgonda</t>
  </si>
  <si>
    <t xml:space="preserve">Mahbubnagar</t>
  </si>
  <si>
    <t xml:space="preserve">Siddipet</t>
  </si>
  <si>
    <t xml:space="preserve">Suryapet</t>
  </si>
  <si>
    <t xml:space="preserve">Jagtial</t>
  </si>
  <si>
    <t xml:space="preserve">Peddapalli</t>
  </si>
  <si>
    <t xml:space="preserve">Bhadradri Kothagudem</t>
  </si>
  <si>
    <t xml:space="preserve">Mancherial</t>
  </si>
  <si>
    <t xml:space="preserve">Mahabubabad</t>
  </si>
  <si>
    <t xml:space="preserve">Wanaparthy</t>
  </si>
  <si>
    <t xml:space="preserve">Hanumakonda</t>
  </si>
  <si>
    <t xml:space="preserve">Gurugram</t>
  </si>
  <si>
    <t xml:space="preserve">Faridabad</t>
  </si>
  <si>
    <t xml:space="preserve">Ambala</t>
  </si>
  <si>
    <t xml:space="preserve">Panchkula</t>
  </si>
  <si>
    <t xml:space="preserve">Sonipat</t>
  </si>
  <si>
    <t xml:space="preserve">Hisar</t>
  </si>
  <si>
    <t xml:space="preserve">Panipat</t>
  </si>
  <si>
    <t xml:space="preserve">Karnal</t>
  </si>
  <si>
    <t xml:space="preserve">Rohtak</t>
  </si>
  <si>
    <t xml:space="preserve">Rewari</t>
  </si>
  <si>
    <t xml:space="preserve">Yamunanagar</t>
  </si>
  <si>
    <t xml:space="preserve">Kurukshetra</t>
  </si>
  <si>
    <t xml:space="preserve">Bhiwani</t>
  </si>
  <si>
    <t xml:space="preserve">Sirsa</t>
  </si>
  <si>
    <t xml:space="preserve">Jind</t>
  </si>
  <si>
    <t xml:space="preserve">Jhajjar</t>
  </si>
  <si>
    <t xml:space="preserve">Palwal</t>
  </si>
  <si>
    <t xml:space="preserve">Kaithal</t>
  </si>
  <si>
    <t xml:space="preserve">Bahadurgarh</t>
  </si>
  <si>
    <t xml:space="preserve">Fatehabad</t>
  </si>
  <si>
    <t xml:space="preserve">Mahendragarh</t>
  </si>
  <si>
    <t xml:space="preserve">Charkhi Dadri</t>
  </si>
  <si>
    <t xml:space="preserve">Narnaul</t>
  </si>
  <si>
    <t xml:space="preserve">Mewat</t>
  </si>
  <si>
    <t xml:space="preserve">Thanesar</t>
  </si>
  <si>
    <t xml:space="preserve">Jaipur</t>
  </si>
  <si>
    <t xml:space="preserve">Jodhpur</t>
  </si>
  <si>
    <t xml:space="preserve">Udaipur</t>
  </si>
  <si>
    <t xml:space="preserve">Kota</t>
  </si>
  <si>
    <t xml:space="preserve">Alwar</t>
  </si>
  <si>
    <t xml:space="preserve">Ajmer</t>
  </si>
  <si>
    <t xml:space="preserve">Bikaner</t>
  </si>
  <si>
    <t xml:space="preserve">Bhilwara</t>
  </si>
  <si>
    <t xml:space="preserve">Sikar</t>
  </si>
  <si>
    <t xml:space="preserve">Bharatpur</t>
  </si>
  <si>
    <t xml:space="preserve">Jhunjhunu</t>
  </si>
  <si>
    <t xml:space="preserve">Nagaur</t>
  </si>
  <si>
    <t xml:space="preserve">Pali</t>
  </si>
  <si>
    <t xml:space="preserve">Chittorgarh</t>
  </si>
  <si>
    <t xml:space="preserve">Churu</t>
  </si>
  <si>
    <t xml:space="preserve">Barmer</t>
  </si>
  <si>
    <t xml:space="preserve">Hanumangarh</t>
  </si>
  <si>
    <t xml:space="preserve">Ganganagar</t>
  </si>
  <si>
    <t xml:space="preserve">Sri Ganganagar</t>
  </si>
  <si>
    <t xml:space="preserve">Sirohi</t>
  </si>
  <si>
    <t xml:space="preserve">Tonk</t>
  </si>
  <si>
    <t xml:space="preserve">Banswara</t>
  </si>
  <si>
    <t xml:space="preserve">Sawai Madhopur</t>
  </si>
  <si>
    <t xml:space="preserve">Dausa</t>
  </si>
  <si>
    <t xml:space="preserve">Rajsamand</t>
  </si>
  <si>
    <t xml:space="preserve">Dholpur</t>
  </si>
  <si>
    <t xml:space="preserve">Dungarpur</t>
  </si>
  <si>
    <t xml:space="preserve">Jhalawar</t>
  </si>
  <si>
    <t xml:space="preserve">Jalore</t>
  </si>
  <si>
    <t xml:space="preserve">Bundi</t>
  </si>
  <si>
    <t xml:space="preserve">Karauli</t>
  </si>
  <si>
    <t xml:space="preserve">Baran</t>
  </si>
  <si>
    <t xml:space="preserve">Jaisalmer</t>
  </si>
  <si>
    <t xml:space="preserve">Pilani</t>
  </si>
  <si>
    <t xml:space="preserve">Jaipur (Gramin)</t>
  </si>
  <si>
    <t xml:space="preserve">Kolkata</t>
  </si>
  <si>
    <t xml:space="preserve">Bardhaman</t>
  </si>
  <si>
    <t xml:space="preserve">Paschim Medinipur</t>
  </si>
  <si>
    <t xml:space="preserve">Hooghly</t>
  </si>
  <si>
    <t xml:space="preserve">Siliguri</t>
  </si>
  <si>
    <t xml:space="preserve">Purba Medinipur</t>
  </si>
  <si>
    <t xml:space="preserve">Darjeeling</t>
  </si>
  <si>
    <t xml:space="preserve">Murshidabad</t>
  </si>
  <si>
    <t xml:space="preserve">Nadia</t>
  </si>
  <si>
    <t xml:space="preserve">Bankura</t>
  </si>
  <si>
    <t xml:space="preserve">Jalpaiguri</t>
  </si>
  <si>
    <t xml:space="preserve">Purulia</t>
  </si>
  <si>
    <t xml:space="preserve">Maldah</t>
  </si>
  <si>
    <t xml:space="preserve">Kharagpur</t>
  </si>
  <si>
    <t xml:space="preserve">Medinipur</t>
  </si>
  <si>
    <t xml:space="preserve">Birbhum</t>
  </si>
  <si>
    <t xml:space="preserve">Cooch Behar</t>
  </si>
  <si>
    <t xml:space="preserve">Hugli-Chinsurah</t>
  </si>
  <si>
    <t xml:space="preserve">Uttar Dinajpur</t>
  </si>
  <si>
    <t xml:space="preserve">Alipurduar</t>
  </si>
  <si>
    <t xml:space="preserve">Baharampur</t>
  </si>
  <si>
    <t xml:space="preserve">Habra</t>
  </si>
  <si>
    <t xml:space="preserve">Jhargram</t>
  </si>
  <si>
    <t xml:space="preserve">24 Paraganas North</t>
  </si>
  <si>
    <t xml:space="preserve">Tamluk</t>
  </si>
  <si>
    <t xml:space="preserve">Raiganj</t>
  </si>
  <si>
    <t xml:space="preserve">Ranaghat</t>
  </si>
  <si>
    <t xml:space="preserve">Kalimpong</t>
  </si>
  <si>
    <t xml:space="preserve">Dakshin Dinajpur</t>
  </si>
  <si>
    <t xml:space="preserve">Nabadwip</t>
  </si>
  <si>
    <t xml:space="preserve">Naihati</t>
  </si>
  <si>
    <t xml:space="preserve">Srirampore</t>
  </si>
  <si>
    <t xml:space="preserve">Indore</t>
  </si>
  <si>
    <t xml:space="preserve">Bhopal</t>
  </si>
  <si>
    <t xml:space="preserve">Jabalpur</t>
  </si>
  <si>
    <t xml:space="preserve">Gwalior</t>
  </si>
  <si>
    <t xml:space="preserve">Ujjain</t>
  </si>
  <si>
    <t xml:space="preserve">Rewa</t>
  </si>
  <si>
    <t xml:space="preserve">Guna</t>
  </si>
  <si>
    <t xml:space="preserve">Sagar</t>
  </si>
  <si>
    <t xml:space="preserve">Satna</t>
  </si>
  <si>
    <t xml:space="preserve">Ratlam</t>
  </si>
  <si>
    <t xml:space="preserve">Dewas</t>
  </si>
  <si>
    <t xml:space="preserve">Chhindwara</t>
  </si>
  <si>
    <t xml:space="preserve">Singrauli</t>
  </si>
  <si>
    <t xml:space="preserve">Mandsaur</t>
  </si>
  <si>
    <t xml:space="preserve">Dhar</t>
  </si>
  <si>
    <t xml:space="preserve">Morena</t>
  </si>
  <si>
    <t xml:space="preserve">Vidisha</t>
  </si>
  <si>
    <t xml:space="preserve">Katni</t>
  </si>
  <si>
    <t xml:space="preserve">Sehore</t>
  </si>
  <si>
    <t xml:space="preserve">Balaghat</t>
  </si>
  <si>
    <t xml:space="preserve">Betul</t>
  </si>
  <si>
    <t xml:space="preserve">Chhatarpur</t>
  </si>
  <si>
    <t xml:space="preserve">Hoshangabad</t>
  </si>
  <si>
    <t xml:space="preserve">Khargone</t>
  </si>
  <si>
    <t xml:space="preserve">Neemuch</t>
  </si>
  <si>
    <t xml:space="preserve">Seoni</t>
  </si>
  <si>
    <t xml:space="preserve">Shivpuri</t>
  </si>
  <si>
    <t xml:space="preserve">Raisen</t>
  </si>
  <si>
    <t xml:space="preserve">Khandwa</t>
  </si>
  <si>
    <t xml:space="preserve">Sidhi</t>
  </si>
  <si>
    <t xml:space="preserve">Shahdol</t>
  </si>
  <si>
    <t xml:space="preserve">Rajgarh</t>
  </si>
  <si>
    <t xml:space="preserve">Bhind</t>
  </si>
  <si>
    <t xml:space="preserve">Narsinghpur</t>
  </si>
  <si>
    <t xml:space="preserve">Tikamgarh</t>
  </si>
  <si>
    <t xml:space="preserve">Barwani</t>
  </si>
  <si>
    <t xml:space="preserve">Mandla</t>
  </si>
  <si>
    <t xml:space="preserve">Damoh</t>
  </si>
  <si>
    <t xml:space="preserve">Shajapur</t>
  </si>
  <si>
    <t xml:space="preserve">Harda</t>
  </si>
  <si>
    <t xml:space="preserve">Agar Malwa</t>
  </si>
  <si>
    <t xml:space="preserve">Burhanpur</t>
  </si>
  <si>
    <t xml:space="preserve">Datia</t>
  </si>
  <si>
    <t xml:space="preserve">Panna</t>
  </si>
  <si>
    <t xml:space="preserve">Ashoknagar</t>
  </si>
  <si>
    <t xml:space="preserve">Itarsi</t>
  </si>
  <si>
    <t xml:space="preserve">Jhabua</t>
  </si>
  <si>
    <t xml:space="preserve">Murwara Katni</t>
  </si>
  <si>
    <t xml:space="preserve">Anuppur</t>
  </si>
  <si>
    <t xml:space="preserve">Kochi</t>
  </si>
  <si>
    <t xml:space="preserve">Thiruvananthapuram</t>
  </si>
  <si>
    <t xml:space="preserve">Kozhikode</t>
  </si>
  <si>
    <t xml:space="preserve">Thrissur</t>
  </si>
  <si>
    <t xml:space="preserve">Malappuram</t>
  </si>
  <si>
    <t xml:space="preserve">Palakkad</t>
  </si>
  <si>
    <t xml:space="preserve">Kollam</t>
  </si>
  <si>
    <t xml:space="preserve">Kannur</t>
  </si>
  <si>
    <t xml:space="preserve">Kottayam</t>
  </si>
  <si>
    <t xml:space="preserve">Alappuzha</t>
  </si>
  <si>
    <t xml:space="preserve">Pathanamthitta</t>
  </si>
  <si>
    <t xml:space="preserve">Idukki</t>
  </si>
  <si>
    <t xml:space="preserve">Wayanad</t>
  </si>
  <si>
    <t xml:space="preserve">Kasaragod</t>
  </si>
  <si>
    <t xml:space="preserve">Adoor</t>
  </si>
  <si>
    <t xml:space="preserve">Thodupuzha</t>
  </si>
  <si>
    <t xml:space="preserve">Muvattupuzha</t>
  </si>
  <si>
    <t xml:space="preserve">Thiruvalla</t>
  </si>
  <si>
    <t xml:space="preserve">Perinthalmanna</t>
  </si>
  <si>
    <t xml:space="preserve">Changanassery</t>
  </si>
  <si>
    <t xml:space="preserve">Ottappalam</t>
  </si>
  <si>
    <t xml:space="preserve">Tirur</t>
  </si>
  <si>
    <t xml:space="preserve">Chalakudy</t>
  </si>
  <si>
    <t xml:space="preserve">Perumbavoor</t>
  </si>
  <si>
    <t xml:space="preserve">Nilambur</t>
  </si>
  <si>
    <t xml:space="preserve">Attingal</t>
  </si>
  <si>
    <t xml:space="preserve">Cherthala</t>
  </si>
  <si>
    <t xml:space="preserve">Patna</t>
  </si>
  <si>
    <t xml:space="preserve">Muzaffarpur</t>
  </si>
  <si>
    <t xml:space="preserve">Begusarai</t>
  </si>
  <si>
    <t xml:space="preserve">Gaya</t>
  </si>
  <si>
    <t xml:space="preserve">Darbhanga</t>
  </si>
  <si>
    <t xml:space="preserve">Samastipur</t>
  </si>
  <si>
    <t xml:space="preserve">Bhagalpur</t>
  </si>
  <si>
    <t xml:space="preserve">Purnia</t>
  </si>
  <si>
    <t xml:space="preserve">Madhubani</t>
  </si>
  <si>
    <t xml:space="preserve">Vaishali</t>
  </si>
  <si>
    <t xml:space="preserve">Nalanda</t>
  </si>
  <si>
    <t xml:space="preserve">Siwan</t>
  </si>
  <si>
    <t xml:space="preserve">Gopalganj</t>
  </si>
  <si>
    <t xml:space="preserve">Katihar</t>
  </si>
  <si>
    <t xml:space="preserve">Sitamarhi</t>
  </si>
  <si>
    <t xml:space="preserve">Saran</t>
  </si>
  <si>
    <t xml:space="preserve">Motihari</t>
  </si>
  <si>
    <t xml:space="preserve">Supaul</t>
  </si>
  <si>
    <t xml:space="preserve">Saharsa</t>
  </si>
  <si>
    <t xml:space="preserve">Purbi Champaran</t>
  </si>
  <si>
    <t xml:space="preserve">Bhojpur</t>
  </si>
  <si>
    <t xml:space="preserve">Hajipur</t>
  </si>
  <si>
    <t xml:space="preserve">Araria</t>
  </si>
  <si>
    <t xml:space="preserve">Buxar</t>
  </si>
  <si>
    <t xml:space="preserve">Arrah</t>
  </si>
  <si>
    <t xml:space="preserve">Pashchim Champaran</t>
  </si>
  <si>
    <t xml:space="preserve">Rohtas</t>
  </si>
  <si>
    <t xml:space="preserve">Nawada</t>
  </si>
  <si>
    <t xml:space="preserve">Jamui</t>
  </si>
  <si>
    <t xml:space="preserve">Munger</t>
  </si>
  <si>
    <t xml:space="preserve">Madhepura</t>
  </si>
  <si>
    <t xml:space="preserve">Bettiah</t>
  </si>
  <si>
    <t xml:space="preserve">Banka</t>
  </si>
  <si>
    <t xml:space="preserve">Jehanabad</t>
  </si>
  <si>
    <t xml:space="preserve">Khagaria</t>
  </si>
  <si>
    <t xml:space="preserve">Kaimur (Bhabua)</t>
  </si>
  <si>
    <t xml:space="preserve">Lakhisarai</t>
  </si>
  <si>
    <t xml:space="preserve">Chhapra</t>
  </si>
  <si>
    <t xml:space="preserve">Sasaram</t>
  </si>
  <si>
    <t xml:space="preserve">Kishanganj</t>
  </si>
  <si>
    <t xml:space="preserve">Sheikhpura</t>
  </si>
  <si>
    <t xml:space="preserve">Sheohar</t>
  </si>
  <si>
    <t xml:space="preserve">Visakhapatnam</t>
  </si>
  <si>
    <t xml:space="preserve">Guntur</t>
  </si>
  <si>
    <t xml:space="preserve">Krishna</t>
  </si>
  <si>
    <t xml:space="preserve">Vijayawada</t>
  </si>
  <si>
    <t xml:space="preserve">Chittoor</t>
  </si>
  <si>
    <t xml:space="preserve">East Godavari</t>
  </si>
  <si>
    <t xml:space="preserve">Anantapur</t>
  </si>
  <si>
    <t xml:space="preserve">Tirupati</t>
  </si>
  <si>
    <t xml:space="preserve">Kurnool</t>
  </si>
  <si>
    <t xml:space="preserve">West Godavari</t>
  </si>
  <si>
    <t xml:space="preserve">Nellore</t>
  </si>
  <si>
    <t xml:space="preserve">Kadapa</t>
  </si>
  <si>
    <t xml:space="preserve">Spsr Nellore</t>
  </si>
  <si>
    <t xml:space="preserve">Kakinada</t>
  </si>
  <si>
    <t xml:space="preserve">Prakasam</t>
  </si>
  <si>
    <t xml:space="preserve">Vizianagaram</t>
  </si>
  <si>
    <t xml:space="preserve">Srikakulam</t>
  </si>
  <si>
    <t xml:space="preserve">Rajahmundry</t>
  </si>
  <si>
    <t xml:space="preserve">Ongole</t>
  </si>
  <si>
    <t xml:space="preserve">Eluru</t>
  </si>
  <si>
    <t xml:space="preserve">Y.S.R.</t>
  </si>
  <si>
    <t xml:space="preserve">Amalapuram</t>
  </si>
  <si>
    <t xml:space="preserve">Anakapalle</t>
  </si>
  <si>
    <t xml:space="preserve">Madanapalle</t>
  </si>
  <si>
    <t xml:space="preserve">Nandyal</t>
  </si>
  <si>
    <t xml:space="preserve">Narasaraopet</t>
  </si>
  <si>
    <t xml:space="preserve">Bhimavaram</t>
  </si>
  <si>
    <t xml:space="preserve">Tenali</t>
  </si>
  <si>
    <t xml:space="preserve">Bapatla</t>
  </si>
  <si>
    <t xml:space="preserve">Machilipatnam</t>
  </si>
  <si>
    <t xml:space="preserve">Tanuku</t>
  </si>
  <si>
    <t xml:space="preserve">Visakhapatanam</t>
  </si>
  <si>
    <t xml:space="preserve">Hindupur</t>
  </si>
  <si>
    <t xml:space="preserve">Tadepalligudem</t>
  </si>
  <si>
    <t xml:space="preserve">Chirala</t>
  </si>
  <si>
    <t xml:space="preserve">Adoni</t>
  </si>
  <si>
    <t xml:space="preserve">Proddatur</t>
  </si>
  <si>
    <t xml:space="preserve">Bhubaneswar</t>
  </si>
  <si>
    <t xml:space="preserve">Cuttack</t>
  </si>
  <si>
    <t xml:space="preserve">Ganjam</t>
  </si>
  <si>
    <t xml:space="preserve">Sundargarh</t>
  </si>
  <si>
    <t xml:space="preserve">Baleswar</t>
  </si>
  <si>
    <t xml:space="preserve">Sambalpur</t>
  </si>
  <si>
    <t xml:space="preserve">Puri</t>
  </si>
  <si>
    <t xml:space="preserve">Rourkela</t>
  </si>
  <si>
    <t xml:space="preserve">Brahmapur</t>
  </si>
  <si>
    <t xml:space="preserve">Angul</t>
  </si>
  <si>
    <t xml:space="preserve">Jajapur</t>
  </si>
  <si>
    <t xml:space="preserve">Bhadrak</t>
  </si>
  <si>
    <t xml:space="preserve">Kendujhar</t>
  </si>
  <si>
    <t xml:space="preserve">Jharsuguda</t>
  </si>
  <si>
    <t xml:space="preserve">Koraput</t>
  </si>
  <si>
    <t xml:space="preserve">Dhenkanal</t>
  </si>
  <si>
    <t xml:space="preserve">Jagatsinghapur</t>
  </si>
  <si>
    <t xml:space="preserve">Bargarh</t>
  </si>
  <si>
    <t xml:space="preserve">Balangir</t>
  </si>
  <si>
    <t xml:space="preserve">Kendrapara</t>
  </si>
  <si>
    <t xml:space="preserve">Mayurbhanj</t>
  </si>
  <si>
    <t xml:space="preserve">Baleshwar Town</t>
  </si>
  <si>
    <t xml:space="preserve">Rayagada</t>
  </si>
  <si>
    <t xml:space="preserve">Kalahandi</t>
  </si>
  <si>
    <t xml:space="preserve">Nayagarh</t>
  </si>
  <si>
    <t xml:space="preserve">Nabarangpur</t>
  </si>
  <si>
    <t xml:space="preserve">Baripada Town</t>
  </si>
  <si>
    <t xml:space="preserve">Mohali</t>
  </si>
  <si>
    <t xml:space="preserve">Ludhiana</t>
  </si>
  <si>
    <t xml:space="preserve">Jalandhar</t>
  </si>
  <si>
    <t xml:space="preserve">Amritsar</t>
  </si>
  <si>
    <t xml:space="preserve">Patiala</t>
  </si>
  <si>
    <t xml:space="preserve">Bathinda</t>
  </si>
  <si>
    <t xml:space="preserve">Rupnagar</t>
  </si>
  <si>
    <t xml:space="preserve">Zirakpur</t>
  </si>
  <si>
    <t xml:space="preserve">Pathankot</t>
  </si>
  <si>
    <t xml:space="preserve">Hoshiarpur</t>
  </si>
  <si>
    <t xml:space="preserve">Sangrur</t>
  </si>
  <si>
    <t xml:space="preserve">Kapurthala</t>
  </si>
  <si>
    <t xml:space="preserve">Firozpur</t>
  </si>
  <si>
    <t xml:space="preserve">Gurdaspur</t>
  </si>
  <si>
    <t xml:space="preserve">Moga</t>
  </si>
  <si>
    <t xml:space="preserve">Fazilka</t>
  </si>
  <si>
    <t xml:space="preserve">Kharar</t>
  </si>
  <si>
    <t xml:space="preserve">S.A.S Nagar</t>
  </si>
  <si>
    <t xml:space="preserve">Fatehgarh Sahib</t>
  </si>
  <si>
    <t xml:space="preserve">Mansa</t>
  </si>
  <si>
    <t xml:space="preserve">Faridkot</t>
  </si>
  <si>
    <t xml:space="preserve">Phagwara</t>
  </si>
  <si>
    <t xml:space="preserve">Barnala</t>
  </si>
  <si>
    <t xml:space="preserve">Rajpura</t>
  </si>
  <si>
    <t xml:space="preserve">Sri Muktsar Sahib</t>
  </si>
  <si>
    <t xml:space="preserve">Guwahati</t>
  </si>
  <si>
    <t xml:space="preserve">Kamrup</t>
  </si>
  <si>
    <t xml:space="preserve">Dibrugarh</t>
  </si>
  <si>
    <t xml:space="preserve">Jorhat</t>
  </si>
  <si>
    <t xml:space="preserve">Tinsukia</t>
  </si>
  <si>
    <t xml:space="preserve">Barpeta</t>
  </si>
  <si>
    <t xml:space="preserve">Cachar</t>
  </si>
  <si>
    <t xml:space="preserve">Nagaon</t>
  </si>
  <si>
    <t xml:space="preserve">Sonitpur</t>
  </si>
  <si>
    <t xml:space="preserve">Baksa</t>
  </si>
  <si>
    <t xml:space="preserve">Silchar</t>
  </si>
  <si>
    <t xml:space="preserve">Golaghat</t>
  </si>
  <si>
    <t xml:space="preserve">Dhubri</t>
  </si>
  <si>
    <t xml:space="preserve">Karimganj</t>
  </si>
  <si>
    <t xml:space="preserve">Bongaigaon</t>
  </si>
  <si>
    <t xml:space="preserve">Sibsagar</t>
  </si>
  <si>
    <t xml:space="preserve">Tezpur</t>
  </si>
  <si>
    <t xml:space="preserve">Sivasagar</t>
  </si>
  <si>
    <t xml:space="preserve">Kokrajhar</t>
  </si>
  <si>
    <t xml:space="preserve">Darrang</t>
  </si>
  <si>
    <t xml:space="preserve">Goalpara</t>
  </si>
  <si>
    <t xml:space="preserve">Nalbari</t>
  </si>
  <si>
    <t xml:space="preserve">Dhemaji</t>
  </si>
  <si>
    <t xml:space="preserve">Biswanath</t>
  </si>
  <si>
    <t xml:space="preserve">Marigaon</t>
  </si>
  <si>
    <t xml:space="preserve">Hojai</t>
  </si>
  <si>
    <t xml:space="preserve">Hailakandi</t>
  </si>
  <si>
    <t xml:space="preserve">North Lakhimpur</t>
  </si>
  <si>
    <t xml:space="preserve">Ranchi</t>
  </si>
  <si>
    <t xml:space="preserve">Jamshedpur</t>
  </si>
  <si>
    <t xml:space="preserve">Dhanbad</t>
  </si>
  <si>
    <t xml:space="preserve">Hazaribagh</t>
  </si>
  <si>
    <t xml:space="preserve">Bokaro</t>
  </si>
  <si>
    <t xml:space="preserve">Bokaro Steel City</t>
  </si>
  <si>
    <t xml:space="preserve">Deoghar</t>
  </si>
  <si>
    <t xml:space="preserve">Giridih</t>
  </si>
  <si>
    <t xml:space="preserve">Seraikela Kharsawan</t>
  </si>
  <si>
    <t xml:space="preserve">Ramgarh</t>
  </si>
  <si>
    <t xml:space="preserve">Palamu</t>
  </si>
  <si>
    <t xml:space="preserve">Adityapur</t>
  </si>
  <si>
    <t xml:space="preserve">West Singhbhum</t>
  </si>
  <si>
    <t xml:space="preserve">Chatra</t>
  </si>
  <si>
    <t xml:space="preserve">Dumka</t>
  </si>
  <si>
    <t xml:space="preserve">Medininagar Daltonganj</t>
  </si>
  <si>
    <t xml:space="preserve">Garhwa</t>
  </si>
  <si>
    <t xml:space="preserve">Chaibasa</t>
  </si>
  <si>
    <t xml:space="preserve">Koderma</t>
  </si>
  <si>
    <t xml:space="preserve">Sahibganj</t>
  </si>
  <si>
    <t xml:space="preserve">Godda</t>
  </si>
  <si>
    <t xml:space="preserve">Gumla</t>
  </si>
  <si>
    <t xml:space="preserve">Raipur</t>
  </si>
  <si>
    <t xml:space="preserve">Durg</t>
  </si>
  <si>
    <t xml:space="preserve">Bilaspur</t>
  </si>
  <si>
    <t xml:space="preserve">Bhilai Nagar</t>
  </si>
  <si>
    <t xml:space="preserve">Raigarh</t>
  </si>
  <si>
    <t xml:space="preserve">Korba</t>
  </si>
  <si>
    <t xml:space="preserve">Rajnandgaon</t>
  </si>
  <si>
    <t xml:space="preserve">Janjgir-Champa</t>
  </si>
  <si>
    <t xml:space="preserve">Dhamtari</t>
  </si>
  <si>
    <t xml:space="preserve">Ambikapur</t>
  </si>
  <si>
    <t xml:space="preserve">Surguja</t>
  </si>
  <si>
    <t xml:space="preserve">Mahasamund</t>
  </si>
  <si>
    <t xml:space="preserve">Jagdalpur</t>
  </si>
  <si>
    <t xml:space="preserve">Bastar</t>
  </si>
  <si>
    <t xml:space="preserve">Korea</t>
  </si>
  <si>
    <t xml:space="preserve">Baloda Bazar</t>
  </si>
  <si>
    <t xml:space="preserve">Dehradun</t>
  </si>
  <si>
    <t xml:space="preserve">Haridwar</t>
  </si>
  <si>
    <t xml:space="preserve">Udham Singh Nagar</t>
  </si>
  <si>
    <t xml:space="preserve">Nainital</t>
  </si>
  <si>
    <t xml:space="preserve">Roorkee</t>
  </si>
  <si>
    <t xml:space="preserve">Haldwani-Cum-Kathgodam</t>
  </si>
  <si>
    <t xml:space="preserve">Rudrapur</t>
  </si>
  <si>
    <t xml:space="preserve">Almora</t>
  </si>
  <si>
    <t xml:space="preserve">Rishikesh</t>
  </si>
  <si>
    <t xml:space="preserve">Pauri Garhwal</t>
  </si>
  <si>
    <t xml:space="preserve">Kashipur</t>
  </si>
  <si>
    <t xml:space="preserve">Pithoragarh</t>
  </si>
  <si>
    <t xml:space="preserve">Tehri Garhwal</t>
  </si>
  <si>
    <t xml:space="preserve">Champawat</t>
  </si>
  <si>
    <t xml:space="preserve">Uttarkashi</t>
  </si>
  <si>
    <t xml:space="preserve">Srinagar</t>
  </si>
  <si>
    <t xml:space="preserve">Jammu</t>
  </si>
  <si>
    <t xml:space="preserve">Baramulla</t>
  </si>
  <si>
    <t xml:space="preserve">Anantnag</t>
  </si>
  <si>
    <t xml:space="preserve">Budgam</t>
  </si>
  <si>
    <t xml:space="preserve">Bandipora</t>
  </si>
  <si>
    <t xml:space="preserve">Pulwama</t>
  </si>
  <si>
    <t xml:space="preserve">Kathua</t>
  </si>
  <si>
    <t xml:space="preserve">Udhampur</t>
  </si>
  <si>
    <t xml:space="preserve">Kupwara</t>
  </si>
  <si>
    <t xml:space="preserve">Doda</t>
  </si>
  <si>
    <t xml:space="preserve">Rajauri</t>
  </si>
  <si>
    <t xml:space="preserve">Ganderbal</t>
  </si>
  <si>
    <t xml:space="preserve">Kishtwar</t>
  </si>
  <si>
    <t xml:space="preserve">Reasi</t>
  </si>
  <si>
    <t xml:space="preserve">Kulgam</t>
  </si>
  <si>
    <t xml:space="preserve">Samba</t>
  </si>
  <si>
    <t xml:space="preserve">Poonch</t>
  </si>
  <si>
    <t xml:space="preserve">Ramban</t>
  </si>
  <si>
    <t xml:space="preserve">Shimla</t>
  </si>
  <si>
    <t xml:space="preserve">Kangra</t>
  </si>
  <si>
    <t xml:space="preserve">Solan</t>
  </si>
  <si>
    <t xml:space="preserve">Mandi</t>
  </si>
  <si>
    <t xml:space="preserve">Una</t>
  </si>
  <si>
    <t xml:space="preserve">Kullu</t>
  </si>
  <si>
    <t xml:space="preserve">Hamirpur</t>
  </si>
  <si>
    <t xml:space="preserve">Palampur</t>
  </si>
  <si>
    <t xml:space="preserve">Chamba</t>
  </si>
  <si>
    <t xml:space="preserve">Bilaspur (Hp)</t>
  </si>
  <si>
    <t xml:space="preserve">Sirmaur</t>
  </si>
  <si>
    <t xml:space="preserve">Panaji</t>
  </si>
  <si>
    <t xml:space="preserve">South Goa</t>
  </si>
  <si>
    <t xml:space="preserve">Margao</t>
  </si>
  <si>
    <t xml:space="preserve">Mapusa</t>
  </si>
  <si>
    <t xml:space="preserve">Marmagao</t>
  </si>
  <si>
    <t xml:space="preserve">Imphal West</t>
  </si>
  <si>
    <t xml:space="preserve">Imphal</t>
  </si>
  <si>
    <t xml:space="preserve">Imphal East</t>
  </si>
  <si>
    <t xml:space="preserve">Thoubal</t>
  </si>
  <si>
    <t xml:space="preserve">Bishnupur</t>
  </si>
  <si>
    <t xml:space="preserve">Churachandpur</t>
  </si>
  <si>
    <t xml:space="preserve">Karaikal</t>
  </si>
  <si>
    <t xml:space="preserve">Agartala</t>
  </si>
  <si>
    <t xml:space="preserve">West Tripura</t>
  </si>
  <si>
    <t xml:space="preserve">Port Blair</t>
  </si>
  <si>
    <t xml:space="preserve">South Andaman</t>
  </si>
  <si>
    <t xml:space="preserve">Nicobars</t>
  </si>
  <si>
    <t xml:space="preserve">North And Middle Andaman</t>
  </si>
  <si>
    <t xml:space="preserve">East Khasi Hills</t>
  </si>
  <si>
    <t xml:space="preserve">Shillong</t>
  </si>
  <si>
    <t xml:space="preserve">Ri Bhoi</t>
  </si>
  <si>
    <t xml:space="preserve">Dimapur</t>
  </si>
  <si>
    <t xml:space="preserve">Kohima</t>
  </si>
  <si>
    <t xml:space="preserve">Papum Pare</t>
  </si>
  <si>
    <t xml:space="preserve">Itanagar</t>
  </si>
  <si>
    <t xml:space="preserve">Naharlagun</t>
  </si>
  <si>
    <t xml:space="preserve">Aizawl</t>
  </si>
  <si>
    <t xml:space="preserve">Dadra And Nagar Haveli</t>
  </si>
  <si>
    <t xml:space="preserve">Daman</t>
  </si>
  <si>
    <t xml:space="preserve">Silvassa</t>
  </si>
  <si>
    <t xml:space="preserve">Leh</t>
  </si>
  <si>
    <t xml:space="preserve">Kargil</t>
  </si>
  <si>
    <t xml:space="preserve">Gangtok</t>
  </si>
  <si>
    <t xml:space="preserve">Total (712 districts listed)</t>
  </si>
  <si>
    <t xml:space="preserve">Total stated on source page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</si>
</sst>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E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E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24"/>
  </cols>
  <sheetData>
    <row r="1" customFormat="false" ht="15" hidden="false" customHeight="false" outlineLevel="0" collapsed="false">
      <c r="A1" s="4" t="s">
        <v>20</v>
      </c>
    </row>
    <row r="2" customFormat="false" ht="15" hidden="false" customHeight="false" outlineLevel="0" collapsed="false">
      <c r="A2" s="5" t="s">
        <v>21</v>
      </c>
    </row>
    <row r="4" customFormat="false" ht="31.5" hidden="false" customHeight="true" outlineLevel="0" collapsed="false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</row>
    <row r="5" customFormat="false" ht="15" hidden="false" customHeight="false" outlineLevel="0" collapsed="false">
      <c r="A5" s="7" t="s">
        <v>29</v>
      </c>
      <c r="B5" s="8" t="n">
        <f aca="false">INDEX(State_Official!$C$5:$C$40,MATCH(A5,State_Official!$B$5:$B$40,0))</f>
        <v>41440</v>
      </c>
      <c r="C5" s="8" t="n">
        <f aca="false">SUMIFS(City_District!$C$5:$C$716,City_District!$A$5:$A$716,A5)</f>
        <v>74005</v>
      </c>
      <c r="D5" s="8" t="n">
        <f aca="false">COUNTIF(City_District!$A$5:$A$716,A5)</f>
        <v>43</v>
      </c>
      <c r="E5" s="7" t="str">
        <f aca="false">IFERROR(INDEX(City_District!$B$5:$B$716,MATCH(A5,City_District!$A$5:$A$716,0)),"none listed (under 25)")</f>
        <v>Mumbai</v>
      </c>
      <c r="F5" s="8" t="n">
        <f aca="false">IFERROR(INDEX(City_District!$C$5:$C$716,MATCH(A5,City_District!$A$5:$A$716,0)),0)</f>
        <v>34079</v>
      </c>
      <c r="G5" s="9" t="n">
        <f aca="false">IF(C5=0,0,F5/C5)</f>
        <v>0.460495912438349</v>
      </c>
    </row>
    <row r="6" customFormat="false" ht="15" hidden="false" customHeight="false" outlineLevel="0" collapsed="false">
      <c r="A6" s="7" t="s">
        <v>30</v>
      </c>
      <c r="B6" s="8" t="n">
        <f aca="false">INDEX(State_Official!$C$5:$C$40,MATCH(A6,State_Official!$B$5:$B$40,0))</f>
        <v>24026</v>
      </c>
      <c r="C6" s="8" t="n">
        <f aca="false">SUMIFS(City_District!$C$5:$C$716,City_District!$A$5:$A$716,A6)</f>
        <v>41192</v>
      </c>
      <c r="D6" s="8" t="n">
        <f aca="false">COUNTIF(City_District!$A$5:$A$716,A6)</f>
        <v>34</v>
      </c>
      <c r="E6" s="7" t="str">
        <f aca="false">IFERROR(INDEX(City_District!$B$5:$B$716,MATCH(A6,City_District!$A$5:$A$716,0)),"none listed (under 25)")</f>
        <v>Bengaluru</v>
      </c>
      <c r="F6" s="8" t="n">
        <f aca="false">IFERROR(INDEX(City_District!$C$5:$C$716,MATCH(A6,City_District!$A$5:$A$716,0)),0)</f>
        <v>33982</v>
      </c>
      <c r="G6" s="9" t="n">
        <f aca="false">IF(C6=0,0,F6/C6)</f>
        <v>0.824966012818023</v>
      </c>
    </row>
    <row r="7" customFormat="false" ht="15" hidden="false" customHeight="false" outlineLevel="0" collapsed="false">
      <c r="A7" s="7" t="s">
        <v>31</v>
      </c>
      <c r="B7" s="8" t="n">
        <f aca="false">INDEX(State_Official!$C$5:$C$40,MATCH(A7,State_Official!$B$5:$B$40,0))</f>
        <v>23678</v>
      </c>
      <c r="C7" s="8" t="n">
        <f aca="false">SUMIFS(City_District!$C$5:$C$716,City_District!$A$5:$A$716,A7)</f>
        <v>44893</v>
      </c>
      <c r="D7" s="8" t="n">
        <f aca="false">COUNTIF(City_District!$A$5:$A$716,A7)</f>
        <v>77</v>
      </c>
      <c r="E7" s="7" t="str">
        <f aca="false">IFERROR(INDEX(City_District!$B$5:$B$716,MATCH(A7,City_District!$A$5:$A$716,0)),"none listed (under 25)")</f>
        <v>Noida</v>
      </c>
      <c r="F7" s="8" t="n">
        <f aca="false">IFERROR(INDEX(City_District!$C$5:$C$716,MATCH(A7,City_District!$A$5:$A$716,0)),0)</f>
        <v>10942</v>
      </c>
      <c r="G7" s="9" t="n">
        <f aca="false">IF(C7=0,0,F7/C7)</f>
        <v>0.243735103468247</v>
      </c>
    </row>
    <row r="8" customFormat="false" ht="15" hidden="false" customHeight="false" outlineLevel="0" collapsed="false">
      <c r="A8" s="7" t="s">
        <v>32</v>
      </c>
      <c r="B8" s="8" t="n">
        <f aca="false">INDEX(State_Official!$C$5:$C$40,MATCH(A8,State_Official!$B$5:$B$40,0))</f>
        <v>22336</v>
      </c>
      <c r="C8" s="8" t="n">
        <f aca="false">SUMIFS(City_District!$C$5:$C$716,City_District!$A$5:$A$716,A8)</f>
        <v>44524</v>
      </c>
      <c r="D8" s="8" t="n">
        <f aca="false">COUNTIF(City_District!$A$5:$A$716,A8)</f>
        <v>10</v>
      </c>
      <c r="E8" s="7" t="str">
        <f aca="false">IFERROR(INDEX(City_District!$B$5:$B$716,MATCH(A8,City_District!$A$5:$A$716,0)),"none listed (under 25)")</f>
        <v>Delhi</v>
      </c>
      <c r="F8" s="8" t="n">
        <f aca="false">IFERROR(INDEX(City_District!$C$5:$C$716,MATCH(A8,City_District!$A$5:$A$716,0)),0)</f>
        <v>42792</v>
      </c>
      <c r="G8" s="9" t="n">
        <f aca="false">IF(C8=0,0,F8/C8)</f>
        <v>0.96109963165933</v>
      </c>
    </row>
    <row r="9" customFormat="false" ht="15" hidden="false" customHeight="false" outlineLevel="0" collapsed="false">
      <c r="A9" s="7" t="s">
        <v>33</v>
      </c>
      <c r="B9" s="8" t="n">
        <f aca="false">INDEX(State_Official!$C$5:$C$40,MATCH(A9,State_Official!$B$5:$B$40,0))</f>
        <v>21019</v>
      </c>
      <c r="C9" s="8" t="n">
        <f aca="false">SUMIFS(City_District!$C$5:$C$716,City_District!$A$5:$A$716,A9)</f>
        <v>34745</v>
      </c>
      <c r="D9" s="8" t="n">
        <f aca="false">COUNTIF(City_District!$A$5:$A$716,A9)</f>
        <v>42</v>
      </c>
      <c r="E9" s="7" t="str">
        <f aca="false">IFERROR(INDEX(City_District!$B$5:$B$716,MATCH(A9,City_District!$A$5:$A$716,0)),"none listed (under 25)")</f>
        <v>Ahmedabad</v>
      </c>
      <c r="F9" s="8" t="n">
        <f aca="false">IFERROR(INDEX(City_District!$C$5:$C$716,MATCH(A9,City_District!$A$5:$A$716,0)),0)</f>
        <v>15020</v>
      </c>
      <c r="G9" s="9" t="n">
        <f aca="false">IF(C9=0,0,F9/C9)</f>
        <v>0.432292416174989</v>
      </c>
    </row>
    <row r="10" customFormat="false" ht="15" hidden="false" customHeight="false" outlineLevel="0" collapsed="false">
      <c r="A10" s="7" t="s">
        <v>34</v>
      </c>
      <c r="B10" s="8" t="n">
        <f aca="false">INDEX(State_Official!$C$5:$C$40,MATCH(A10,State_Official!$B$5:$B$40,0))</f>
        <v>15774</v>
      </c>
      <c r="C10" s="8" t="n">
        <f aca="false">SUMIFS(City_District!$C$5:$C$716,City_District!$A$5:$A$716,A10)</f>
        <v>29616</v>
      </c>
      <c r="D10" s="8" t="n">
        <f aca="false">COUNTIF(City_District!$A$5:$A$716,A10)</f>
        <v>42</v>
      </c>
      <c r="E10" s="7" t="str">
        <f aca="false">IFERROR(INDEX(City_District!$B$5:$B$716,MATCH(A10,City_District!$A$5:$A$716,0)),"none listed (under 25)")</f>
        <v>Chennai</v>
      </c>
      <c r="F10" s="8" t="n">
        <f aca="false">IFERROR(INDEX(City_District!$C$5:$C$716,MATCH(A10,City_District!$A$5:$A$716,0)),0)</f>
        <v>15662</v>
      </c>
      <c r="G10" s="9" t="n">
        <f aca="false">IF(C10=0,0,F10/C10)</f>
        <v>0.528835764451648</v>
      </c>
    </row>
    <row r="11" customFormat="false" ht="15" hidden="false" customHeight="false" outlineLevel="0" collapsed="false">
      <c r="A11" s="7" t="s">
        <v>35</v>
      </c>
      <c r="B11" s="8" t="n">
        <f aca="false">INDEX(State_Official!$C$5:$C$40,MATCH(A11,State_Official!$B$5:$B$40,0))</f>
        <v>13622</v>
      </c>
      <c r="C11" s="8" t="n">
        <f aca="false">SUMIFS(City_District!$C$5:$C$716,City_District!$A$5:$A$716,A11)</f>
        <v>23156</v>
      </c>
      <c r="D11" s="8" t="n">
        <f aca="false">COUNTIF(City_District!$A$5:$A$716,A11)</f>
        <v>19</v>
      </c>
      <c r="E11" s="7" t="str">
        <f aca="false">IFERROR(INDEX(City_District!$B$5:$B$716,MATCH(A11,City_District!$A$5:$A$716,0)),"none listed (under 25)")</f>
        <v>Hyderabad</v>
      </c>
      <c r="F11" s="8" t="n">
        <f aca="false">IFERROR(INDEX(City_District!$C$5:$C$716,MATCH(A11,City_District!$A$5:$A$716,0)),0)</f>
        <v>20860</v>
      </c>
      <c r="G11" s="9" t="n">
        <f aca="false">IF(C11=0,0,F11/C11)</f>
        <v>0.900846432889964</v>
      </c>
    </row>
    <row r="12" customFormat="false" ht="15" hidden="false" customHeight="false" outlineLevel="0" collapsed="false">
      <c r="A12" s="7" t="s">
        <v>36</v>
      </c>
      <c r="B12" s="8" t="n">
        <f aca="false">INDEX(State_Official!$C$5:$C$40,MATCH(A12,State_Official!$B$5:$B$40,0))</f>
        <v>12482</v>
      </c>
      <c r="C12" s="8" t="n">
        <f aca="false">SUMIFS(City_District!$C$5:$C$716,City_District!$A$5:$A$716,A12)</f>
        <v>20789</v>
      </c>
      <c r="D12" s="8" t="n">
        <f aca="false">COUNTIF(City_District!$A$5:$A$716,A12)</f>
        <v>25</v>
      </c>
      <c r="E12" s="7" t="str">
        <f aca="false">IFERROR(INDEX(City_District!$B$5:$B$716,MATCH(A12,City_District!$A$5:$A$716,0)),"none listed (under 25)")</f>
        <v>Gurugram</v>
      </c>
      <c r="F12" s="8" t="n">
        <f aca="false">IFERROR(INDEX(City_District!$C$5:$C$716,MATCH(A12,City_District!$A$5:$A$716,0)),0)</f>
        <v>10448</v>
      </c>
      <c r="G12" s="9" t="n">
        <f aca="false">IF(C12=0,0,F12/C12)</f>
        <v>0.502573476357689</v>
      </c>
    </row>
    <row r="13" customFormat="false" ht="15" hidden="false" customHeight="false" outlineLevel="0" collapsed="false">
      <c r="A13" s="7" t="s">
        <v>37</v>
      </c>
      <c r="B13" s="8" t="n">
        <f aca="false">INDEX(State_Official!$C$5:$C$40,MATCH(A13,State_Official!$B$5:$B$40,0))</f>
        <v>9092</v>
      </c>
      <c r="C13" s="8" t="n">
        <f aca="false">SUMIFS(City_District!$C$5:$C$716,City_District!$A$5:$A$716,A13)</f>
        <v>15435</v>
      </c>
      <c r="D13" s="8" t="n">
        <f aca="false">COUNTIF(City_District!$A$5:$A$716,A13)</f>
        <v>27</v>
      </c>
      <c r="E13" s="7" t="str">
        <f aca="false">IFERROR(INDEX(City_District!$B$5:$B$716,MATCH(A13,City_District!$A$5:$A$716,0)),"none listed (under 25)")</f>
        <v>Kochi</v>
      </c>
      <c r="F13" s="8" t="n">
        <f aca="false">IFERROR(INDEX(City_District!$C$5:$C$716,MATCH(A13,City_District!$A$5:$A$716,0)),0)</f>
        <v>4959</v>
      </c>
      <c r="G13" s="9" t="n">
        <f aca="false">IF(C13=0,0,F13/C13)</f>
        <v>0.321282798833819</v>
      </c>
    </row>
    <row r="14" customFormat="false" ht="15" hidden="false" customHeight="false" outlineLevel="0" collapsed="false">
      <c r="A14" s="7" t="s">
        <v>38</v>
      </c>
      <c r="B14" s="8" t="n">
        <f aca="false">INDEX(State_Official!$C$5:$C$40,MATCH(A14,State_Official!$B$5:$B$40,0))</f>
        <v>8783</v>
      </c>
      <c r="C14" s="8" t="n">
        <f aca="false">SUMIFS(City_District!$C$5:$C$716,City_District!$A$5:$A$716,A14)</f>
        <v>18670</v>
      </c>
      <c r="D14" s="8" t="n">
        <f aca="false">COUNTIF(City_District!$A$5:$A$716,A14)</f>
        <v>35</v>
      </c>
      <c r="E14" s="7" t="str">
        <f aca="false">IFERROR(INDEX(City_District!$B$5:$B$716,MATCH(A14,City_District!$A$5:$A$716,0)),"none listed (under 25)")</f>
        <v>Jaipur</v>
      </c>
      <c r="F14" s="8" t="n">
        <f aca="false">IFERROR(INDEX(City_District!$C$5:$C$716,MATCH(A14,City_District!$A$5:$A$716,0)),0)</f>
        <v>9551</v>
      </c>
      <c r="G14" s="9" t="n">
        <f aca="false">IF(C14=0,0,F14/C14)</f>
        <v>0.511569362613819</v>
      </c>
    </row>
    <row r="15" customFormat="false" ht="15" hidden="false" customHeight="false" outlineLevel="0" collapsed="false">
      <c r="A15" s="7" t="s">
        <v>39</v>
      </c>
      <c r="B15" s="8" t="n">
        <f aca="false">INDEX(State_Official!$C$5:$C$40,MATCH(A15,State_Official!$B$5:$B$40,0))</f>
        <v>8194</v>
      </c>
      <c r="C15" s="8" t="n">
        <f aca="false">SUMIFS(City_District!$C$5:$C$716,City_District!$A$5:$A$716,A15)</f>
        <v>15965</v>
      </c>
      <c r="D15" s="8" t="n">
        <f aca="false">COUNTIF(City_District!$A$5:$A$716,A15)</f>
        <v>49</v>
      </c>
      <c r="E15" s="7" t="str">
        <f aca="false">IFERROR(INDEX(City_District!$B$5:$B$716,MATCH(A15,City_District!$A$5:$A$716,0)),"none listed (under 25)")</f>
        <v>Indore</v>
      </c>
      <c r="F15" s="8" t="n">
        <f aca="false">IFERROR(INDEX(City_District!$C$5:$C$716,MATCH(A15,City_District!$A$5:$A$716,0)),0)</f>
        <v>5111</v>
      </c>
      <c r="G15" s="9" t="n">
        <f aca="false">IF(C15=0,0,F15/C15)</f>
        <v>0.320137801440651</v>
      </c>
    </row>
    <row r="16" customFormat="false" ht="15" hidden="false" customHeight="false" outlineLevel="0" collapsed="false">
      <c r="A16" s="7" t="s">
        <v>40</v>
      </c>
      <c r="B16" s="8" t="n">
        <f aca="false">INDEX(State_Official!$C$5:$C$40,MATCH(A16,State_Official!$B$5:$B$40,0))</f>
        <v>7775</v>
      </c>
      <c r="C16" s="8" t="n">
        <f aca="false">SUMIFS(City_District!$C$5:$C$716,City_District!$A$5:$A$716,A16)</f>
        <v>17197</v>
      </c>
      <c r="D16" s="8" t="n">
        <f aca="false">COUNTIF(City_District!$A$5:$A$716,A16)</f>
        <v>32</v>
      </c>
      <c r="E16" s="7" t="str">
        <f aca="false">IFERROR(INDEX(City_District!$B$5:$B$716,MATCH(A16,City_District!$A$5:$A$716,0)),"none listed (under 25)")</f>
        <v>Kolkata</v>
      </c>
      <c r="F16" s="8" t="n">
        <f aca="false">IFERROR(INDEX(City_District!$C$5:$C$716,MATCH(A16,City_District!$A$5:$A$716,0)),0)</f>
        <v>11455</v>
      </c>
      <c r="G16" s="9" t="n">
        <f aca="false">IF(C16=0,0,F16/C16)</f>
        <v>0.66610455311973</v>
      </c>
    </row>
    <row r="17" customFormat="false" ht="15" hidden="false" customHeight="false" outlineLevel="0" collapsed="false">
      <c r="A17" s="7" t="s">
        <v>41</v>
      </c>
      <c r="B17" s="8" t="n">
        <f aca="false">INDEX(State_Official!$C$5:$C$40,MATCH(A17,State_Official!$B$5:$B$40,0))</f>
        <v>5527</v>
      </c>
      <c r="C17" s="8" t="n">
        <f aca="false">SUMIFS(City_District!$C$5:$C$716,City_District!$A$5:$A$716,A17)</f>
        <v>10301</v>
      </c>
      <c r="D17" s="8" t="n">
        <f aca="false">COUNTIF(City_District!$A$5:$A$716,A17)</f>
        <v>42</v>
      </c>
      <c r="E17" s="7" t="str">
        <f aca="false">IFERROR(INDEX(City_District!$B$5:$B$716,MATCH(A17,City_District!$A$5:$A$716,0)),"none listed (under 25)")</f>
        <v>Patna</v>
      </c>
      <c r="F17" s="8" t="n">
        <f aca="false">IFERROR(INDEX(City_District!$C$5:$C$716,MATCH(A17,City_District!$A$5:$A$716,0)),0)</f>
        <v>3883</v>
      </c>
      <c r="G17" s="9" t="n">
        <f aca="false">IF(C17=0,0,F17/C17)</f>
        <v>0.376953693816134</v>
      </c>
    </row>
    <row r="18" customFormat="false" ht="15" hidden="false" customHeight="false" outlineLevel="0" collapsed="false">
      <c r="A18" s="7" t="s">
        <v>42</v>
      </c>
      <c r="B18" s="8" t="n">
        <f aca="false">INDEX(State_Official!$C$5:$C$40,MATCH(A18,State_Official!$B$5:$B$40,0))</f>
        <v>4707</v>
      </c>
      <c r="C18" s="8" t="n">
        <f aca="false">SUMIFS(City_District!$C$5:$C$716,City_District!$A$5:$A$716,A18)</f>
        <v>9315</v>
      </c>
      <c r="D18" s="8" t="n">
        <f aca="false">COUNTIF(City_District!$A$5:$A$716,A18)</f>
        <v>37</v>
      </c>
      <c r="E18" s="7" t="str">
        <f aca="false">IFERROR(INDEX(City_District!$B$5:$B$716,MATCH(A18,City_District!$A$5:$A$716,0)),"none listed (under 25)")</f>
        <v>Visakhapatnam</v>
      </c>
      <c r="F18" s="8" t="n">
        <f aca="false">IFERROR(INDEX(City_District!$C$5:$C$716,MATCH(A18,City_District!$A$5:$A$716,0)),0)</f>
        <v>2304</v>
      </c>
      <c r="G18" s="9" t="n">
        <f aca="false">IF(C18=0,0,F18/C18)</f>
        <v>0.247342995169082</v>
      </c>
    </row>
    <row r="19" customFormat="false" ht="15" hidden="false" customHeight="false" outlineLevel="0" collapsed="false">
      <c r="A19" s="7" t="s">
        <v>43</v>
      </c>
      <c r="B19" s="8" t="n">
        <f aca="false">INDEX(State_Official!$C$5:$C$40,MATCH(A19,State_Official!$B$5:$B$40,0))</f>
        <v>4123</v>
      </c>
      <c r="C19" s="8" t="n">
        <f aca="false">SUMIFS(City_District!$C$5:$C$716,City_District!$A$5:$A$716,A19)</f>
        <v>7289</v>
      </c>
      <c r="D19" s="8" t="n">
        <f aca="false">COUNTIF(City_District!$A$5:$A$716,A19)</f>
        <v>27</v>
      </c>
      <c r="E19" s="7" t="str">
        <f aca="false">IFERROR(INDEX(City_District!$B$5:$B$716,MATCH(A19,City_District!$A$5:$A$716,0)),"none listed (under 25)")</f>
        <v>Bhubaneswar</v>
      </c>
      <c r="F19" s="8" t="n">
        <f aca="false">IFERROR(INDEX(City_District!$C$5:$C$716,MATCH(A19,City_District!$A$5:$A$716,0)),0)</f>
        <v>3908</v>
      </c>
      <c r="G19" s="9" t="n">
        <f aca="false">IF(C19=0,0,F19/C19)</f>
        <v>0.536150363561531</v>
      </c>
    </row>
    <row r="20" customFormat="false" ht="15" hidden="false" customHeight="false" outlineLevel="0" collapsed="false">
      <c r="A20" s="7" t="s">
        <v>44</v>
      </c>
      <c r="B20" s="8" t="n">
        <f aca="false">INDEX(State_Official!$C$5:$C$40,MATCH(A20,State_Official!$B$5:$B$40,0))</f>
        <v>2708</v>
      </c>
      <c r="C20" s="8" t="n">
        <f aca="false">SUMIFS(City_District!$C$5:$C$716,City_District!$A$5:$A$716,A20)</f>
        <v>5864</v>
      </c>
      <c r="D20" s="8" t="n">
        <f aca="false">COUNTIF(City_District!$A$5:$A$716,A20)</f>
        <v>25</v>
      </c>
      <c r="E20" s="7" t="str">
        <f aca="false">IFERROR(INDEX(City_District!$B$5:$B$716,MATCH(A20,City_District!$A$5:$A$716,0)),"none listed (under 25)")</f>
        <v>Mohali</v>
      </c>
      <c r="F20" s="8" t="n">
        <f aca="false">IFERROR(INDEX(City_District!$C$5:$C$716,MATCH(A20,City_District!$A$5:$A$716,0)),0)</f>
        <v>1393</v>
      </c>
      <c r="G20" s="9" t="n">
        <f aca="false">IF(C20=0,0,F20/C20)</f>
        <v>0.237551159618008</v>
      </c>
    </row>
    <row r="21" customFormat="false" ht="15" hidden="false" customHeight="false" outlineLevel="0" collapsed="false">
      <c r="A21" s="7" t="s">
        <v>45</v>
      </c>
      <c r="B21" s="8" t="n">
        <f aca="false">INDEX(State_Official!$C$5:$C$40,MATCH(A21,State_Official!$B$5:$B$40,0))</f>
        <v>2587</v>
      </c>
      <c r="C21" s="8" t="n">
        <f aca="false">SUMIFS(City_District!$C$5:$C$716,City_District!$A$5:$A$716,A21)</f>
        <v>4442</v>
      </c>
      <c r="D21" s="8" t="n">
        <f aca="false">COUNTIF(City_District!$A$5:$A$716,A21)</f>
        <v>16</v>
      </c>
      <c r="E21" s="7" t="str">
        <f aca="false">IFERROR(INDEX(City_District!$B$5:$B$716,MATCH(A21,City_District!$A$5:$A$716,0)),"none listed (under 25)")</f>
        <v>Raipur</v>
      </c>
      <c r="F21" s="8" t="n">
        <f aca="false">IFERROR(INDEX(City_District!$C$5:$C$716,MATCH(A21,City_District!$A$5:$A$716,0)),0)</f>
        <v>2246</v>
      </c>
      <c r="G21" s="9" t="n">
        <f aca="false">IF(C21=0,0,F21/C21)</f>
        <v>0.505628095452499</v>
      </c>
    </row>
    <row r="22" customFormat="false" ht="15" hidden="false" customHeight="false" outlineLevel="0" collapsed="false">
      <c r="A22" s="7" t="s">
        <v>46</v>
      </c>
      <c r="B22" s="8" t="n">
        <f aca="false">INDEX(State_Official!$C$5:$C$40,MATCH(A22,State_Official!$B$5:$B$40,0))</f>
        <v>2351</v>
      </c>
      <c r="C22" s="8" t="n">
        <f aca="false">SUMIFS(City_District!$C$5:$C$716,City_District!$A$5:$A$716,A22)</f>
        <v>4839</v>
      </c>
      <c r="D22" s="8" t="n">
        <f aca="false">COUNTIF(City_District!$A$5:$A$716,A22)</f>
        <v>28</v>
      </c>
      <c r="E22" s="7" t="str">
        <f aca="false">IFERROR(INDEX(City_District!$B$5:$B$716,MATCH(A22,City_District!$A$5:$A$716,0)),"none listed (under 25)")</f>
        <v>Guwahati</v>
      </c>
      <c r="F22" s="8" t="n">
        <f aca="false">IFERROR(INDEX(City_District!$C$5:$C$716,MATCH(A22,City_District!$A$5:$A$716,0)),0)</f>
        <v>1956</v>
      </c>
      <c r="G22" s="9" t="n">
        <f aca="false">IF(C22=0,0,F22/C22)</f>
        <v>0.404215747055177</v>
      </c>
    </row>
    <row r="23" customFormat="false" ht="15" hidden="false" customHeight="false" outlineLevel="0" collapsed="false">
      <c r="A23" s="7" t="s">
        <v>47</v>
      </c>
      <c r="B23" s="8" t="n">
        <f aca="false">INDEX(State_Official!$C$5:$C$40,MATCH(A23,State_Official!$B$5:$B$40,0))</f>
        <v>2304</v>
      </c>
      <c r="C23" s="8" t="n">
        <f aca="false">SUMIFS(City_District!$C$5:$C$716,City_District!$A$5:$A$716,A23)</f>
        <v>4862</v>
      </c>
      <c r="D23" s="8" t="n">
        <f aca="false">COUNTIF(City_District!$A$5:$A$716,A23)</f>
        <v>22</v>
      </c>
      <c r="E23" s="7" t="str">
        <f aca="false">IFERROR(INDEX(City_District!$B$5:$B$716,MATCH(A23,City_District!$A$5:$A$716,0)),"none listed (under 25)")</f>
        <v>Ranchi</v>
      </c>
      <c r="F23" s="8" t="n">
        <f aca="false">IFERROR(INDEX(City_District!$C$5:$C$716,MATCH(A23,City_District!$A$5:$A$716,0)),0)</f>
        <v>1971</v>
      </c>
      <c r="G23" s="9" t="n">
        <f aca="false">IF(C23=0,0,F23/C23)</f>
        <v>0.405388728918141</v>
      </c>
    </row>
    <row r="24" customFormat="false" ht="15" hidden="false" customHeight="false" outlineLevel="0" collapsed="false">
      <c r="A24" s="7" t="s">
        <v>48</v>
      </c>
      <c r="B24" s="8" t="n">
        <f aca="false">INDEX(State_Official!$C$5:$C$40,MATCH(A24,State_Official!$B$5:$B$40,0))</f>
        <v>1970</v>
      </c>
      <c r="C24" s="8" t="n">
        <f aca="false">SUMIFS(City_District!$C$5:$C$716,City_District!$A$5:$A$716,A24)</f>
        <v>4225</v>
      </c>
      <c r="D24" s="8" t="n">
        <f aca="false">COUNTIF(City_District!$A$5:$A$716,A24)</f>
        <v>15</v>
      </c>
      <c r="E24" s="7" t="str">
        <f aca="false">IFERROR(INDEX(City_District!$B$5:$B$716,MATCH(A24,City_District!$A$5:$A$716,0)),"none listed (under 25)")</f>
        <v>Dehradun</v>
      </c>
      <c r="F24" s="8" t="n">
        <f aca="false">IFERROR(INDEX(City_District!$C$5:$C$716,MATCH(A24,City_District!$A$5:$A$716,0)),0)</f>
        <v>2091</v>
      </c>
      <c r="G24" s="9" t="n">
        <f aca="false">IF(C24=0,0,F24/C24)</f>
        <v>0.49491124260355</v>
      </c>
    </row>
    <row r="25" customFormat="false" ht="15" hidden="false" customHeight="false" outlineLevel="0" collapsed="false">
      <c r="A25" s="7" t="s">
        <v>49</v>
      </c>
      <c r="B25" s="8" t="n">
        <f aca="false">INDEX(State_Official!$C$5:$C$40,MATCH(A25,State_Official!$B$5:$B$40,0))</f>
        <v>1628</v>
      </c>
      <c r="C25" s="8" t="n">
        <f aca="false">SUMIFS(City_District!$C$5:$C$716,City_District!$A$5:$A$716,A25)</f>
        <v>3718</v>
      </c>
      <c r="D25" s="8" t="n">
        <f aca="false">COUNTIF(City_District!$A$5:$A$716,A25)</f>
        <v>19</v>
      </c>
      <c r="E25" s="7" t="str">
        <f aca="false">IFERROR(INDEX(City_District!$B$5:$B$716,MATCH(A25,City_District!$A$5:$A$716,0)),"none listed (under 25)")</f>
        <v>Srinagar</v>
      </c>
      <c r="F25" s="8" t="n">
        <f aca="false">IFERROR(INDEX(City_District!$C$5:$C$716,MATCH(A25,City_District!$A$5:$A$716,0)),0)</f>
        <v>1187</v>
      </c>
      <c r="G25" s="9" t="n">
        <f aca="false">IF(C25=0,0,F25/C25)</f>
        <v>0.319257665411512</v>
      </c>
    </row>
    <row r="26" customFormat="false" ht="15" hidden="false" customHeight="false" outlineLevel="0" collapsed="false">
      <c r="A26" s="7" t="s">
        <v>50</v>
      </c>
      <c r="B26" s="8" t="n">
        <f aca="false">INDEX(State_Official!$C$5:$C$40,MATCH(A26,State_Official!$B$5:$B$40,0))</f>
        <v>898</v>
      </c>
      <c r="C26" s="8" t="n">
        <f aca="false">SUMIFS(City_District!$C$5:$C$716,City_District!$A$5:$A$716,A26)</f>
        <v>2034</v>
      </c>
      <c r="D26" s="8" t="n">
        <f aca="false">COUNTIF(City_District!$A$5:$A$716,A26)</f>
        <v>11</v>
      </c>
      <c r="E26" s="7" t="str">
        <f aca="false">IFERROR(INDEX(City_District!$B$5:$B$716,MATCH(A26,City_District!$A$5:$A$716,0)),"none listed (under 25)")</f>
        <v>Shimla</v>
      </c>
      <c r="F26" s="8" t="n">
        <f aca="false">IFERROR(INDEX(City_District!$C$5:$C$716,MATCH(A26,City_District!$A$5:$A$716,0)),0)</f>
        <v>378</v>
      </c>
      <c r="G26" s="9" t="n">
        <f aca="false">IF(C26=0,0,F26/C26)</f>
        <v>0.185840707964602</v>
      </c>
    </row>
    <row r="27" customFormat="false" ht="15" hidden="false" customHeight="false" outlineLevel="0" collapsed="false">
      <c r="A27" s="7" t="s">
        <v>51</v>
      </c>
      <c r="B27" s="8" t="n">
        <f aca="false">INDEX(State_Official!$C$5:$C$40,MATCH(A27,State_Official!$B$5:$B$40,0))</f>
        <v>861</v>
      </c>
      <c r="C27" s="8" t="n">
        <f aca="false">SUMIFS(City_District!$C$5:$C$716,City_District!$A$5:$A$716,A27)</f>
        <v>1572</v>
      </c>
      <c r="D27" s="8" t="n">
        <f aca="false">COUNTIF(City_District!$A$5:$A$716,A27)</f>
        <v>5</v>
      </c>
      <c r="E27" s="7" t="str">
        <f aca="false">IFERROR(INDEX(City_District!$B$5:$B$716,MATCH(A27,City_District!$A$5:$A$716,0)),"none listed (under 25)")</f>
        <v>Panaji</v>
      </c>
      <c r="F27" s="8" t="n">
        <f aca="false">IFERROR(INDEX(City_District!$C$5:$C$716,MATCH(A27,City_District!$A$5:$A$716,0)),0)</f>
        <v>888</v>
      </c>
      <c r="G27" s="9" t="n">
        <f aca="false">IF(C27=0,0,F27/C27)</f>
        <v>0.564885496183206</v>
      </c>
    </row>
    <row r="28" customFormat="false" ht="15" hidden="false" customHeight="false" outlineLevel="0" collapsed="false">
      <c r="A28" s="7" t="s">
        <v>52</v>
      </c>
      <c r="B28" s="8" t="n">
        <f aca="false">INDEX(State_Official!$C$5:$C$40,MATCH(A28,State_Official!$B$5:$B$40,0))</f>
        <v>740</v>
      </c>
      <c r="C28" s="8" t="n">
        <f aca="false">SUMIFS(City_District!$C$5:$C$716,City_District!$A$5:$A$716,A28)</f>
        <v>1849</v>
      </c>
      <c r="D28" s="8" t="n">
        <f aca="false">COUNTIF(City_District!$A$5:$A$716,A28)</f>
        <v>1</v>
      </c>
      <c r="E28" s="7" t="str">
        <f aca="false">IFERROR(INDEX(City_District!$B$5:$B$716,MATCH(A28,City_District!$A$5:$A$716,0)),"none listed (under 25)")</f>
        <v>Chandigarh</v>
      </c>
      <c r="F28" s="8" t="n">
        <f aca="false">IFERROR(INDEX(City_District!$C$5:$C$716,MATCH(A28,City_District!$A$5:$A$716,0)),0)</f>
        <v>1849</v>
      </c>
      <c r="G28" s="9" t="n">
        <f aca="false">IF(C28=0,0,F28/C28)</f>
        <v>1</v>
      </c>
    </row>
    <row r="29" customFormat="false" ht="15" hidden="false" customHeight="false" outlineLevel="0" collapsed="false">
      <c r="A29" s="7" t="s">
        <v>53</v>
      </c>
      <c r="B29" s="8" t="n">
        <f aca="false">INDEX(State_Official!$C$5:$C$40,MATCH(A29,State_Official!$B$5:$B$40,0))</f>
        <v>295</v>
      </c>
      <c r="C29" s="8" t="n">
        <f aca="false">SUMIFS(City_District!$C$5:$C$716,City_District!$A$5:$A$716,A29)</f>
        <v>609</v>
      </c>
      <c r="D29" s="8" t="n">
        <f aca="false">COUNTIF(City_District!$A$5:$A$716,A29)</f>
        <v>6</v>
      </c>
      <c r="E29" s="7" t="str">
        <f aca="false">IFERROR(INDEX(City_District!$B$5:$B$716,MATCH(A29,City_District!$A$5:$A$716,0)),"none listed (under 25)")</f>
        <v>Imphal West</v>
      </c>
      <c r="F29" s="8" t="n">
        <f aca="false">IFERROR(INDEX(City_District!$C$5:$C$716,MATCH(A29,City_District!$A$5:$A$716,0)),0)</f>
        <v>220</v>
      </c>
      <c r="G29" s="9" t="n">
        <f aca="false">IF(C29=0,0,F29/C29)</f>
        <v>0.361247947454844</v>
      </c>
    </row>
    <row r="30" customFormat="false" ht="15" hidden="false" customHeight="false" outlineLevel="0" collapsed="false">
      <c r="A30" s="7" t="s">
        <v>54</v>
      </c>
      <c r="B30" s="8" t="n">
        <f aca="false">INDEX(State_Official!$C$5:$C$40,MATCH(A30,State_Official!$B$5:$B$40,0))</f>
        <v>263</v>
      </c>
      <c r="C30" s="8" t="n">
        <f aca="false">SUMIFS(City_District!$C$5:$C$716,City_District!$A$5:$A$716,A30)</f>
        <v>556</v>
      </c>
      <c r="D30" s="8" t="n">
        <f aca="false">COUNTIF(City_District!$A$5:$A$716,A30)</f>
        <v>2</v>
      </c>
      <c r="E30" s="7" t="str">
        <f aca="false">IFERROR(INDEX(City_District!$B$5:$B$716,MATCH(A30,City_District!$A$5:$A$716,0)),"none listed (under 25)")</f>
        <v>Puducherry</v>
      </c>
      <c r="F30" s="8" t="n">
        <f aca="false">IFERROR(INDEX(City_District!$C$5:$C$716,MATCH(A30,City_District!$A$5:$A$716,0)),0)</f>
        <v>509</v>
      </c>
      <c r="G30" s="9" t="n">
        <f aca="false">IF(C30=0,0,F30/C30)</f>
        <v>0.915467625899281</v>
      </c>
    </row>
    <row r="31" customFormat="false" ht="15" hidden="false" customHeight="false" outlineLevel="0" collapsed="false">
      <c r="A31" s="7" t="s">
        <v>55</v>
      </c>
      <c r="B31" s="8" t="n">
        <f aca="false">INDEX(State_Official!$C$5:$C$40,MATCH(A31,State_Official!$B$5:$B$40,0))</f>
        <v>233</v>
      </c>
      <c r="C31" s="8" t="n">
        <f aca="false">SUMIFS(City_District!$C$5:$C$716,City_District!$A$5:$A$716,A31)</f>
        <v>377</v>
      </c>
      <c r="D31" s="8" t="n">
        <f aca="false">COUNTIF(City_District!$A$5:$A$716,A31)</f>
        <v>2</v>
      </c>
      <c r="E31" s="7" t="str">
        <f aca="false">IFERROR(INDEX(City_District!$B$5:$B$716,MATCH(A31,City_District!$A$5:$A$716,0)),"none listed (under 25)")</f>
        <v>Agartala</v>
      </c>
      <c r="F31" s="8" t="n">
        <f aca="false">IFERROR(INDEX(City_District!$C$5:$C$716,MATCH(A31,City_District!$A$5:$A$716,0)),0)</f>
        <v>197</v>
      </c>
      <c r="G31" s="9" t="n">
        <f aca="false">IF(C31=0,0,F31/C31)</f>
        <v>0.522546419098143</v>
      </c>
    </row>
    <row r="32" customFormat="false" ht="15" hidden="false" customHeight="false" outlineLevel="0" collapsed="false">
      <c r="A32" s="7" t="s">
        <v>56</v>
      </c>
      <c r="B32" s="8" t="n">
        <f aca="false">INDEX(State_Official!$C$5:$C$40,MATCH(A32,State_Official!$B$5:$B$40,0))</f>
        <v>131</v>
      </c>
      <c r="C32" s="8" t="n">
        <f aca="false">SUMIFS(City_District!$C$5:$C$716,City_District!$A$5:$A$716,A32)</f>
        <v>233</v>
      </c>
      <c r="D32" s="8" t="n">
        <f aca="false">COUNTIF(City_District!$A$5:$A$716,A32)</f>
        <v>2</v>
      </c>
      <c r="E32" s="7" t="str">
        <f aca="false">IFERROR(INDEX(City_District!$B$5:$B$716,MATCH(A32,City_District!$A$5:$A$716,0)),"none listed (under 25)")</f>
        <v>Dimapur</v>
      </c>
      <c r="F32" s="8" t="n">
        <f aca="false">IFERROR(INDEX(City_District!$C$5:$C$716,MATCH(A32,City_District!$A$5:$A$716,0)),0)</f>
        <v>171</v>
      </c>
      <c r="G32" s="9" t="n">
        <f aca="false">IF(C32=0,0,F32/C32)</f>
        <v>0.733905579399142</v>
      </c>
    </row>
    <row r="33" customFormat="false" ht="15" hidden="false" customHeight="false" outlineLevel="0" collapsed="false">
      <c r="A33" s="7" t="s">
        <v>57</v>
      </c>
      <c r="B33" s="8" t="n">
        <f aca="false">INDEX(State_Official!$C$5:$C$40,MATCH(A33,State_Official!$B$5:$B$40,0))</f>
        <v>108</v>
      </c>
      <c r="C33" s="8" t="n">
        <f aca="false">SUMIFS(City_District!$C$5:$C$716,City_District!$A$5:$A$716,A33)</f>
        <v>380</v>
      </c>
      <c r="D33" s="8" t="n">
        <f aca="false">COUNTIF(City_District!$A$5:$A$716,A33)</f>
        <v>4</v>
      </c>
      <c r="E33" s="7" t="str">
        <f aca="false">IFERROR(INDEX(City_District!$B$5:$B$716,MATCH(A33,City_District!$A$5:$A$716,0)),"none listed (under 25)")</f>
        <v>Port Blair</v>
      </c>
      <c r="F33" s="8" t="n">
        <f aca="false">IFERROR(INDEX(City_District!$C$5:$C$716,MATCH(A33,City_District!$A$5:$A$716,0)),0)</f>
        <v>187</v>
      </c>
      <c r="G33" s="9" t="n">
        <f aca="false">IF(C33=0,0,F33/C33)</f>
        <v>0.492105263157895</v>
      </c>
    </row>
    <row r="34" customFormat="false" ht="15" hidden="false" customHeight="false" outlineLevel="0" collapsed="false">
      <c r="A34" s="7" t="s">
        <v>58</v>
      </c>
      <c r="B34" s="8" t="n">
        <f aca="false">INDEX(State_Official!$C$5:$C$40,MATCH(A34,State_Official!$B$5:$B$40,0))</f>
        <v>106</v>
      </c>
      <c r="C34" s="8" t="n">
        <f aca="false">SUMIFS(City_District!$C$5:$C$716,City_District!$A$5:$A$716,A34)</f>
        <v>255</v>
      </c>
      <c r="D34" s="8" t="n">
        <f aca="false">COUNTIF(City_District!$A$5:$A$716,A34)</f>
        <v>3</v>
      </c>
      <c r="E34" s="7" t="str">
        <f aca="false">IFERROR(INDEX(City_District!$B$5:$B$716,MATCH(A34,City_District!$A$5:$A$716,0)),"none listed (under 25)")</f>
        <v>East Khasi Hills</v>
      </c>
      <c r="F34" s="8" t="n">
        <f aca="false">IFERROR(INDEX(City_District!$C$5:$C$716,MATCH(A34,City_District!$A$5:$A$716,0)),0)</f>
        <v>114</v>
      </c>
      <c r="G34" s="9" t="n">
        <f aca="false">IF(C34=0,0,F34/C34)</f>
        <v>0.447058823529412</v>
      </c>
    </row>
    <row r="35" customFormat="false" ht="15" hidden="false" customHeight="false" outlineLevel="0" collapsed="false">
      <c r="A35" s="7" t="s">
        <v>59</v>
      </c>
      <c r="B35" s="8" t="n">
        <f aca="false">INDEX(State_Official!$C$5:$C$40,MATCH(A35,State_Official!$B$5:$B$40,0))</f>
        <v>102</v>
      </c>
      <c r="C35" s="8" t="n">
        <f aca="false">SUMIFS(City_District!$C$5:$C$716,City_District!$A$5:$A$716,A35)</f>
        <v>114</v>
      </c>
      <c r="D35" s="8" t="n">
        <f aca="false">COUNTIF(City_District!$A$5:$A$716,A35)</f>
        <v>3</v>
      </c>
      <c r="E35" s="7" t="str">
        <f aca="false">IFERROR(INDEX(City_District!$B$5:$B$716,MATCH(A35,City_District!$A$5:$A$716,0)),"none listed (under 25)")</f>
        <v>Papum Pare</v>
      </c>
      <c r="F35" s="8" t="n">
        <f aca="false">IFERROR(INDEX(City_District!$C$5:$C$716,MATCH(A35,City_District!$A$5:$A$716,0)),0)</f>
        <v>42</v>
      </c>
      <c r="G35" s="9" t="n">
        <f aca="false">IF(C35=0,0,F35/C35)</f>
        <v>0.368421052631579</v>
      </c>
    </row>
    <row r="36" customFormat="false" ht="15" hidden="false" customHeight="false" outlineLevel="0" collapsed="false">
      <c r="A36" s="7" t="s">
        <v>60</v>
      </c>
      <c r="B36" s="8" t="n">
        <f aca="false">INDEX(State_Official!$C$5:$C$40,MATCH(A36,State_Official!$B$5:$B$40,0))</f>
        <v>102</v>
      </c>
      <c r="C36" s="8" t="n">
        <f aca="false">SUMIFS(City_District!$C$5:$C$716,City_District!$A$5:$A$716,A36)</f>
        <v>224</v>
      </c>
      <c r="D36" s="8" t="n">
        <f aca="false">COUNTIF(City_District!$A$5:$A$716,A36)</f>
        <v>3</v>
      </c>
      <c r="E36" s="7" t="str">
        <f aca="false">IFERROR(INDEX(City_District!$B$5:$B$716,MATCH(A36,City_District!$A$5:$A$716,0)),"none listed (under 25)")</f>
        <v>Dadra And Nagar Haveli</v>
      </c>
      <c r="F36" s="8" t="n">
        <f aca="false">IFERROR(INDEX(City_District!$C$5:$C$716,MATCH(A36,City_District!$A$5:$A$716,0)),0)</f>
        <v>116</v>
      </c>
      <c r="G36" s="9" t="n">
        <f aca="false">IF(C36=0,0,F36/C36)</f>
        <v>0.517857142857143</v>
      </c>
    </row>
    <row r="37" customFormat="false" ht="15" hidden="false" customHeight="false" outlineLevel="0" collapsed="false">
      <c r="A37" s="7" t="s">
        <v>61</v>
      </c>
      <c r="B37" s="8" t="n">
        <f aca="false">INDEX(State_Official!$C$5:$C$40,MATCH(A37,State_Official!$B$5:$B$40,0))</f>
        <v>78</v>
      </c>
      <c r="C37" s="8" t="n">
        <f aca="false">SUMIFS(City_District!$C$5:$C$716,City_District!$A$5:$A$716,A37)</f>
        <v>139</v>
      </c>
      <c r="D37" s="8" t="n">
        <f aca="false">COUNTIF(City_District!$A$5:$A$716,A37)</f>
        <v>1</v>
      </c>
      <c r="E37" s="7" t="str">
        <f aca="false">IFERROR(INDEX(City_District!$B$5:$B$716,MATCH(A37,City_District!$A$5:$A$716,0)),"none listed (under 25)")</f>
        <v>Aizawl</v>
      </c>
      <c r="F37" s="8" t="n">
        <f aca="false">IFERROR(INDEX(City_District!$C$5:$C$716,MATCH(A37,City_District!$A$5:$A$716,0)),0)</f>
        <v>139</v>
      </c>
      <c r="G37" s="9" t="n">
        <f aca="false">IF(C37=0,0,F37/C37)</f>
        <v>1</v>
      </c>
    </row>
    <row r="38" customFormat="false" ht="15" hidden="false" customHeight="false" outlineLevel="0" collapsed="false">
      <c r="A38" s="7" t="s">
        <v>62</v>
      </c>
      <c r="B38" s="8" t="n">
        <f aca="false">INDEX(State_Official!$C$5:$C$40,MATCH(A38,State_Official!$B$5:$B$40,0))</f>
        <v>25</v>
      </c>
      <c r="C38" s="8" t="n">
        <f aca="false">SUMIFS(City_District!$C$5:$C$716,City_District!$A$5:$A$716,A38)</f>
        <v>86</v>
      </c>
      <c r="D38" s="8" t="n">
        <f aca="false">COUNTIF(City_District!$A$5:$A$716,A38)</f>
        <v>2</v>
      </c>
      <c r="E38" s="7" t="str">
        <f aca="false">IFERROR(INDEX(City_District!$B$5:$B$716,MATCH(A38,City_District!$A$5:$A$716,0)),"none listed (under 25)")</f>
        <v>Leh</v>
      </c>
      <c r="F38" s="8" t="n">
        <f aca="false">IFERROR(INDEX(City_District!$C$5:$C$716,MATCH(A38,City_District!$A$5:$A$716,0)),0)</f>
        <v>50</v>
      </c>
      <c r="G38" s="9" t="n">
        <f aca="false">IF(C38=0,0,F38/C38)</f>
        <v>0.581395348837209</v>
      </c>
    </row>
    <row r="39" customFormat="false" ht="15" hidden="false" customHeight="false" outlineLevel="0" collapsed="false">
      <c r="A39" s="7" t="s">
        <v>63</v>
      </c>
      <c r="B39" s="8" t="n">
        <f aca="false">INDEX(State_Official!$C$5:$C$40,MATCH(A39,State_Official!$B$5:$B$40,0))</f>
        <v>21</v>
      </c>
      <c r="C39" s="8" t="n">
        <f aca="false">SUMIFS(City_District!$C$5:$C$716,City_District!$A$5:$A$716,A39)</f>
        <v>49</v>
      </c>
      <c r="D39" s="8" t="n">
        <f aca="false">COUNTIF(City_District!$A$5:$A$716,A39)</f>
        <v>1</v>
      </c>
      <c r="E39" s="7" t="str">
        <f aca="false">IFERROR(INDEX(City_District!$B$5:$B$716,MATCH(A39,City_District!$A$5:$A$716,0)),"none listed (under 25)")</f>
        <v>Gangtok</v>
      </c>
      <c r="F39" s="8" t="n">
        <f aca="false">IFERROR(INDEX(City_District!$C$5:$C$716,MATCH(A39,City_District!$A$5:$A$716,0)),0)</f>
        <v>49</v>
      </c>
      <c r="G39" s="9" t="n">
        <f aca="false">IF(C39=0,0,F39/C39)</f>
        <v>1</v>
      </c>
    </row>
    <row r="40" customFormat="false" ht="15" hidden="false" customHeight="false" outlineLevel="0" collapsed="false">
      <c r="A40" s="7" t="s">
        <v>64</v>
      </c>
      <c r="B40" s="8" t="n">
        <f aca="false">INDEX(State_Official!$C$5:$C$40,MATCH(A40,State_Official!$B$5:$B$40,0))</f>
        <v>3</v>
      </c>
      <c r="C40" s="8" t="n">
        <f aca="false">SUMIFS(City_District!$C$5:$C$716,City_District!$A$5:$A$716,A40)</f>
        <v>0</v>
      </c>
      <c r="D40" s="8" t="n">
        <f aca="false">COUNTIF(City_District!$A$5:$A$716,A40)</f>
        <v>0</v>
      </c>
      <c r="E40" s="7" t="str">
        <f aca="false">IFERROR(INDEX(City_District!$B$5:$B$716,MATCH(A40,City_District!$A$5:$A$716,0)),"none listed (under 25)")</f>
        <v>none listed (under 25)</v>
      </c>
      <c r="F40" s="8" t="n">
        <f aca="false">IFERROR(INDEX(City_District!$C$5:$C$716,MATCH(A40,City_District!$A$5:$A$716,0)),0)</f>
        <v>0</v>
      </c>
      <c r="G40" s="9" t="n">
        <f aca="false">IF(C40=0,0,F40/C40)</f>
        <v>0</v>
      </c>
    </row>
    <row r="41" customFormat="false" ht="15" hidden="false" customHeight="false" outlineLevel="0" collapsed="false">
      <c r="A41" s="10" t="s">
        <v>65</v>
      </c>
      <c r="B41" s="11" t="n">
        <f aca="false">SUM(B5:B40)</f>
        <v>240092</v>
      </c>
      <c r="C41" s="11" t="n">
        <f aca="false">SUM(C5:C40)</f>
        <v>443519</v>
      </c>
      <c r="D41" s="11" t="n">
        <f aca="false">SUM(D5:D40)</f>
        <v>712</v>
      </c>
      <c r="E41" s="10"/>
      <c r="F41" s="10"/>
      <c r="G41" s="10"/>
    </row>
    <row r="43" customFormat="false" ht="15" hidden="false" customHeight="false" outlineLevel="0" collapsed="false">
      <c r="A43" s="5" t="s">
        <v>66</v>
      </c>
    </row>
    <row r="44" customFormat="false" ht="15" hidden="false" customHeight="false" outlineLevel="0" collapsed="false">
      <c r="A44" s="5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4" t="s">
        <v>68</v>
      </c>
    </row>
    <row r="2" customFormat="false" ht="15" hidden="false" customHeight="false" outlineLevel="0" collapsed="false">
      <c r="A2" s="5" t="s">
        <v>69</v>
      </c>
    </row>
    <row r="4" customFormat="false" ht="31.5" hidden="false" customHeight="true" outlineLevel="0" collapsed="false">
      <c r="A4" s="6" t="s">
        <v>70</v>
      </c>
      <c r="B4" s="6" t="s">
        <v>22</v>
      </c>
      <c r="C4" s="6" t="s">
        <v>71</v>
      </c>
      <c r="D4" s="6" t="s">
        <v>72</v>
      </c>
    </row>
    <row r="5" customFormat="false" ht="15" hidden="false" customHeight="false" outlineLevel="0" collapsed="false">
      <c r="A5" s="12" t="n">
        <f aca="false">RANK(C5,$C$5:$C$40)</f>
        <v>1</v>
      </c>
      <c r="B5" s="7" t="s">
        <v>29</v>
      </c>
      <c r="C5" s="13" t="n">
        <v>41440</v>
      </c>
      <c r="D5" s="9" t="n">
        <f aca="false">C5/$C$41</f>
        <v>0.172600503140463</v>
      </c>
    </row>
    <row r="6" customFormat="false" ht="15" hidden="false" customHeight="false" outlineLevel="0" collapsed="false">
      <c r="A6" s="12" t="n">
        <f aca="false">RANK(C6,$C$5:$C$40)</f>
        <v>2</v>
      </c>
      <c r="B6" s="7" t="s">
        <v>30</v>
      </c>
      <c r="C6" s="13" t="n">
        <v>24026</v>
      </c>
      <c r="D6" s="9" t="n">
        <f aca="false">C6/$C$41</f>
        <v>0.100069973176949</v>
      </c>
    </row>
    <row r="7" customFormat="false" ht="15" hidden="false" customHeight="false" outlineLevel="0" collapsed="false">
      <c r="A7" s="12" t="n">
        <f aca="false">RANK(C7,$C$5:$C$40)</f>
        <v>3</v>
      </c>
      <c r="B7" s="7" t="s">
        <v>31</v>
      </c>
      <c r="C7" s="13" t="n">
        <v>23678</v>
      </c>
      <c r="D7" s="9" t="n">
        <f aca="false">C7/$C$41</f>
        <v>0.0986205287972944</v>
      </c>
    </row>
    <row r="8" customFormat="false" ht="15" hidden="false" customHeight="false" outlineLevel="0" collapsed="false">
      <c r="A8" s="12" t="n">
        <f aca="false">RANK(C8,$C$5:$C$40)</f>
        <v>4</v>
      </c>
      <c r="B8" s="7" t="s">
        <v>32</v>
      </c>
      <c r="C8" s="13" t="n">
        <v>22336</v>
      </c>
      <c r="D8" s="9" t="n">
        <f aca="false">C8/$C$41</f>
        <v>0.0930310047815004</v>
      </c>
    </row>
    <row r="9" customFormat="false" ht="15" hidden="false" customHeight="false" outlineLevel="0" collapsed="false">
      <c r="A9" s="12" t="n">
        <f aca="false">RANK(C9,$C$5:$C$40)</f>
        <v>5</v>
      </c>
      <c r="B9" s="7" t="s">
        <v>33</v>
      </c>
      <c r="C9" s="13" t="n">
        <v>21019</v>
      </c>
      <c r="D9" s="9" t="n">
        <f aca="false">C9/$C$41</f>
        <v>0.0875456075171184</v>
      </c>
    </row>
    <row r="10" customFormat="false" ht="15" hidden="false" customHeight="false" outlineLevel="0" collapsed="false">
      <c r="A10" s="12" t="n">
        <f aca="false">RANK(C10,$C$5:$C$40)</f>
        <v>6</v>
      </c>
      <c r="B10" s="7" t="s">
        <v>34</v>
      </c>
      <c r="C10" s="13" t="n">
        <v>15774</v>
      </c>
      <c r="D10" s="9" t="n">
        <f aca="false">C10/$C$41</f>
        <v>0.0656998150708895</v>
      </c>
    </row>
    <row r="11" customFormat="false" ht="15" hidden="false" customHeight="false" outlineLevel="0" collapsed="false">
      <c r="A11" s="12" t="n">
        <f aca="false">RANK(C11,$C$5:$C$40)</f>
        <v>7</v>
      </c>
      <c r="B11" s="7" t="s">
        <v>35</v>
      </c>
      <c r="C11" s="13" t="n">
        <v>13622</v>
      </c>
      <c r="D11" s="9" t="n">
        <f aca="false">C11/$C$41</f>
        <v>0.0567365843093481</v>
      </c>
    </row>
    <row r="12" customFormat="false" ht="15" hidden="false" customHeight="false" outlineLevel="0" collapsed="false">
      <c r="A12" s="12" t="n">
        <f aca="false">RANK(C12,$C$5:$C$40)</f>
        <v>8</v>
      </c>
      <c r="B12" s="7" t="s">
        <v>36</v>
      </c>
      <c r="C12" s="13" t="n">
        <v>12482</v>
      </c>
      <c r="D12" s="9" t="n">
        <f aca="false">C12/$C$41</f>
        <v>0.0519884044449628</v>
      </c>
    </row>
    <row r="13" customFormat="false" ht="15" hidden="false" customHeight="false" outlineLevel="0" collapsed="false">
      <c r="A13" s="12" t="n">
        <f aca="false">RANK(C13,$C$5:$C$40)</f>
        <v>9</v>
      </c>
      <c r="B13" s="7" t="s">
        <v>37</v>
      </c>
      <c r="C13" s="13" t="n">
        <v>9092</v>
      </c>
      <c r="D13" s="9" t="n">
        <f aca="false">C13/$C$41</f>
        <v>0.0378688169535012</v>
      </c>
    </row>
    <row r="14" customFormat="false" ht="15" hidden="false" customHeight="false" outlineLevel="0" collapsed="false">
      <c r="A14" s="12" t="n">
        <f aca="false">RANK(C14,$C$5:$C$40)</f>
        <v>10</v>
      </c>
      <c r="B14" s="7" t="s">
        <v>38</v>
      </c>
      <c r="C14" s="13" t="n">
        <v>8783</v>
      </c>
      <c r="D14" s="9" t="n">
        <f aca="false">C14/$C$41</f>
        <v>0.0365818103060493</v>
      </c>
    </row>
    <row r="15" customFormat="false" ht="15" hidden="false" customHeight="false" outlineLevel="0" collapsed="false">
      <c r="A15" s="12" t="n">
        <f aca="false">RANK(C15,$C$5:$C$40)</f>
        <v>11</v>
      </c>
      <c r="B15" s="7" t="s">
        <v>39</v>
      </c>
      <c r="C15" s="13" t="n">
        <v>8194</v>
      </c>
      <c r="D15" s="9" t="n">
        <f aca="false">C15/$C$41</f>
        <v>0.0341285840427836</v>
      </c>
    </row>
    <row r="16" customFormat="false" ht="15" hidden="false" customHeight="false" outlineLevel="0" collapsed="false">
      <c r="A16" s="12" t="n">
        <f aca="false">RANK(C16,$C$5:$C$40)</f>
        <v>12</v>
      </c>
      <c r="B16" s="7" t="s">
        <v>40</v>
      </c>
      <c r="C16" s="13" t="n">
        <v>7775</v>
      </c>
      <c r="D16" s="9" t="n">
        <f aca="false">C16/$C$41</f>
        <v>0.0323834196891192</v>
      </c>
    </row>
    <row r="17" customFormat="false" ht="15" hidden="false" customHeight="false" outlineLevel="0" collapsed="false">
      <c r="A17" s="12" t="n">
        <f aca="false">RANK(C17,$C$5:$C$40)</f>
        <v>13</v>
      </c>
      <c r="B17" s="7" t="s">
        <v>41</v>
      </c>
      <c r="C17" s="13" t="n">
        <v>5527</v>
      </c>
      <c r="D17" s="9" t="n">
        <f aca="false">C17/$C$41</f>
        <v>0.0230203422021558</v>
      </c>
    </row>
    <row r="18" customFormat="false" ht="15" hidden="false" customHeight="false" outlineLevel="0" collapsed="false">
      <c r="A18" s="12" t="n">
        <f aca="false">RANK(C18,$C$5:$C$40)</f>
        <v>14</v>
      </c>
      <c r="B18" s="7" t="s">
        <v>42</v>
      </c>
      <c r="C18" s="13" t="n">
        <v>4707</v>
      </c>
      <c r="D18" s="9" t="n">
        <f aca="false">C18/$C$41</f>
        <v>0.0196049847558436</v>
      </c>
    </row>
    <row r="19" customFormat="false" ht="15" hidden="false" customHeight="false" outlineLevel="0" collapsed="false">
      <c r="A19" s="12" t="n">
        <f aca="false">RANK(C19,$C$5:$C$40)</f>
        <v>15</v>
      </c>
      <c r="B19" s="7" t="s">
        <v>43</v>
      </c>
      <c r="C19" s="13" t="n">
        <v>4123</v>
      </c>
      <c r="D19" s="9" t="n">
        <f aca="false">C19/$C$41</f>
        <v>0.0171725838428602</v>
      </c>
    </row>
    <row r="20" customFormat="false" ht="15" hidden="false" customHeight="false" outlineLevel="0" collapsed="false">
      <c r="A20" s="12" t="n">
        <f aca="false">RANK(C20,$C$5:$C$40)</f>
        <v>16</v>
      </c>
      <c r="B20" s="7" t="s">
        <v>44</v>
      </c>
      <c r="C20" s="13" t="n">
        <v>2708</v>
      </c>
      <c r="D20" s="9" t="n">
        <f aca="false">C20/$C$41</f>
        <v>0.0112790097129434</v>
      </c>
    </row>
    <row r="21" customFormat="false" ht="15" hidden="false" customHeight="false" outlineLevel="0" collapsed="false">
      <c r="A21" s="12" t="n">
        <f aca="false">RANK(C21,$C$5:$C$40)</f>
        <v>17</v>
      </c>
      <c r="B21" s="7" t="s">
        <v>45</v>
      </c>
      <c r="C21" s="13" t="n">
        <v>2587</v>
      </c>
      <c r="D21" s="9" t="n">
        <f aca="false">C21/$C$41</f>
        <v>0.0107750362361095</v>
      </c>
    </row>
    <row r="22" customFormat="false" ht="15" hidden="false" customHeight="false" outlineLevel="0" collapsed="false">
      <c r="A22" s="12" t="n">
        <f aca="false">RANK(C22,$C$5:$C$40)</f>
        <v>18</v>
      </c>
      <c r="B22" s="7" t="s">
        <v>46</v>
      </c>
      <c r="C22" s="13" t="n">
        <v>2351</v>
      </c>
      <c r="D22" s="9" t="n">
        <f aca="false">C22/$C$41</f>
        <v>0.0097920797027806</v>
      </c>
    </row>
    <row r="23" customFormat="false" ht="15" hidden="false" customHeight="false" outlineLevel="0" collapsed="false">
      <c r="A23" s="12" t="n">
        <f aca="false">RANK(C23,$C$5:$C$40)</f>
        <v>19</v>
      </c>
      <c r="B23" s="7" t="s">
        <v>47</v>
      </c>
      <c r="C23" s="13" t="n">
        <v>2304</v>
      </c>
      <c r="D23" s="9" t="n">
        <f aca="false">C23/$C$41</f>
        <v>0.00959632141012612</v>
      </c>
    </row>
    <row r="24" customFormat="false" ht="15" hidden="false" customHeight="false" outlineLevel="0" collapsed="false">
      <c r="A24" s="12" t="n">
        <f aca="false">RANK(C24,$C$5:$C$40)</f>
        <v>20</v>
      </c>
      <c r="B24" s="7" t="s">
        <v>48</v>
      </c>
      <c r="C24" s="13" t="n">
        <v>1970</v>
      </c>
      <c r="D24" s="9" t="n">
        <f aca="false">C24/$C$41</f>
        <v>0.00820518801126235</v>
      </c>
    </row>
    <row r="25" customFormat="false" ht="15" hidden="false" customHeight="false" outlineLevel="0" collapsed="false">
      <c r="A25" s="12" t="n">
        <f aca="false">RANK(C25,$C$5:$C$40)</f>
        <v>21</v>
      </c>
      <c r="B25" s="7" t="s">
        <v>49</v>
      </c>
      <c r="C25" s="13" t="n">
        <v>1628</v>
      </c>
      <c r="D25" s="9" t="n">
        <f aca="false">C25/$C$41</f>
        <v>0.00678073405194675</v>
      </c>
    </row>
    <row r="26" customFormat="false" ht="15" hidden="false" customHeight="false" outlineLevel="0" collapsed="false">
      <c r="A26" s="12" t="n">
        <f aca="false">RANK(C26,$C$5:$C$40)</f>
        <v>22</v>
      </c>
      <c r="B26" s="7" t="s">
        <v>50</v>
      </c>
      <c r="C26" s="13" t="n">
        <v>898</v>
      </c>
      <c r="D26" s="9" t="n">
        <f aca="false">C26/$C$41</f>
        <v>0.00374023291071756</v>
      </c>
    </row>
    <row r="27" customFormat="false" ht="15" hidden="false" customHeight="false" outlineLevel="0" collapsed="false">
      <c r="A27" s="12" t="n">
        <f aca="false">RANK(C27,$C$5:$C$40)</f>
        <v>23</v>
      </c>
      <c r="B27" s="7" t="s">
        <v>51</v>
      </c>
      <c r="C27" s="13" t="n">
        <v>861</v>
      </c>
      <c r="D27" s="9" t="n">
        <f aca="false">C27/$C$41</f>
        <v>0.00358612531862786</v>
      </c>
    </row>
    <row r="28" customFormat="false" ht="15" hidden="false" customHeight="false" outlineLevel="0" collapsed="false">
      <c r="A28" s="12" t="n">
        <f aca="false">RANK(C28,$C$5:$C$40)</f>
        <v>24</v>
      </c>
      <c r="B28" s="7" t="s">
        <v>52</v>
      </c>
      <c r="C28" s="13" t="n">
        <v>740</v>
      </c>
      <c r="D28" s="9" t="n">
        <f aca="false">C28/$C$41</f>
        <v>0.00308215184179398</v>
      </c>
    </row>
    <row r="29" customFormat="false" ht="15" hidden="false" customHeight="false" outlineLevel="0" collapsed="false">
      <c r="A29" s="12" t="n">
        <f aca="false">RANK(C29,$C$5:$C$40)</f>
        <v>25</v>
      </c>
      <c r="B29" s="7" t="s">
        <v>53</v>
      </c>
      <c r="C29" s="13" t="n">
        <v>295</v>
      </c>
      <c r="D29" s="9" t="n">
        <f aca="false">C29/$C$41</f>
        <v>0.00122869566666111</v>
      </c>
    </row>
    <row r="30" customFormat="false" ht="15" hidden="false" customHeight="false" outlineLevel="0" collapsed="false">
      <c r="A30" s="12" t="n">
        <f aca="false">RANK(C30,$C$5:$C$40)</f>
        <v>26</v>
      </c>
      <c r="B30" s="7" t="s">
        <v>54</v>
      </c>
      <c r="C30" s="13" t="n">
        <v>263</v>
      </c>
      <c r="D30" s="9" t="n">
        <f aca="false">C30/$C$41</f>
        <v>0.00109541342485381</v>
      </c>
    </row>
    <row r="31" customFormat="false" ht="15" hidden="false" customHeight="false" outlineLevel="0" collapsed="false">
      <c r="A31" s="12" t="n">
        <f aca="false">RANK(C31,$C$5:$C$40)</f>
        <v>27</v>
      </c>
      <c r="B31" s="7" t="s">
        <v>55</v>
      </c>
      <c r="C31" s="13" t="n">
        <v>233</v>
      </c>
      <c r="D31" s="9" t="n">
        <f aca="false">C31/$C$41</f>
        <v>0.000970461323159456</v>
      </c>
    </row>
    <row r="32" customFormat="false" ht="15" hidden="false" customHeight="false" outlineLevel="0" collapsed="false">
      <c r="A32" s="12" t="n">
        <f aca="false">RANK(C32,$C$5:$C$40)</f>
        <v>28</v>
      </c>
      <c r="B32" s="7" t="s">
        <v>56</v>
      </c>
      <c r="C32" s="13" t="n">
        <v>131</v>
      </c>
      <c r="D32" s="9" t="n">
        <f aca="false">C32/$C$41</f>
        <v>0.000545624177398664</v>
      </c>
    </row>
    <row r="33" customFormat="false" ht="15" hidden="false" customHeight="false" outlineLevel="0" collapsed="false">
      <c r="A33" s="12" t="n">
        <f aca="false">RANK(C33,$C$5:$C$40)</f>
        <v>29</v>
      </c>
      <c r="B33" s="7" t="s">
        <v>57</v>
      </c>
      <c r="C33" s="13" t="n">
        <v>108</v>
      </c>
      <c r="D33" s="9" t="n">
        <f aca="false">C33/$C$41</f>
        <v>0.000449827566099662</v>
      </c>
    </row>
    <row r="34" customFormat="false" ht="15" hidden="false" customHeight="false" outlineLevel="0" collapsed="false">
      <c r="A34" s="12" t="n">
        <f aca="false">RANK(C34,$C$5:$C$40)</f>
        <v>30</v>
      </c>
      <c r="B34" s="7" t="s">
        <v>58</v>
      </c>
      <c r="C34" s="13" t="n">
        <v>106</v>
      </c>
      <c r="D34" s="9" t="n">
        <f aca="false">C34/$C$41</f>
        <v>0.000441497425986705</v>
      </c>
    </row>
    <row r="35" customFormat="false" ht="15" hidden="false" customHeight="false" outlineLevel="0" collapsed="false">
      <c r="A35" s="12" t="n">
        <f aca="false">RANK(C35,$C$5:$C$40)</f>
        <v>31</v>
      </c>
      <c r="B35" s="7" t="s">
        <v>59</v>
      </c>
      <c r="C35" s="13" t="n">
        <v>102</v>
      </c>
      <c r="D35" s="9" t="n">
        <f aca="false">C35/$C$41</f>
        <v>0.000424837145760792</v>
      </c>
    </row>
    <row r="36" customFormat="false" ht="15" hidden="false" customHeight="false" outlineLevel="0" collapsed="false">
      <c r="A36" s="12" t="n">
        <f aca="false">RANK(C36,$C$5:$C$40)</f>
        <v>31</v>
      </c>
      <c r="B36" s="7" t="s">
        <v>60</v>
      </c>
      <c r="C36" s="13" t="n">
        <v>102</v>
      </c>
      <c r="D36" s="9" t="n">
        <f aca="false">C36/$C$41</f>
        <v>0.000424837145760792</v>
      </c>
    </row>
    <row r="37" customFormat="false" ht="15" hidden="false" customHeight="false" outlineLevel="0" collapsed="false">
      <c r="A37" s="12" t="n">
        <f aca="false">RANK(C37,$C$5:$C$40)</f>
        <v>33</v>
      </c>
      <c r="B37" s="7" t="s">
        <v>61</v>
      </c>
      <c r="C37" s="13" t="n">
        <v>78</v>
      </c>
      <c r="D37" s="9" t="n">
        <f aca="false">C37/$C$41</f>
        <v>0.000324875464405311</v>
      </c>
    </row>
    <row r="38" customFormat="false" ht="15" hidden="false" customHeight="false" outlineLevel="0" collapsed="false">
      <c r="A38" s="12" t="n">
        <f aca="false">RANK(C38,$C$5:$C$40)</f>
        <v>34</v>
      </c>
      <c r="B38" s="7" t="s">
        <v>62</v>
      </c>
      <c r="C38" s="13" t="n">
        <v>25</v>
      </c>
      <c r="D38" s="9" t="n">
        <f aca="false">C38/$C$41</f>
        <v>0.000104126751411959</v>
      </c>
    </row>
    <row r="39" customFormat="false" ht="15" hidden="false" customHeight="false" outlineLevel="0" collapsed="false">
      <c r="A39" s="12" t="n">
        <f aca="false">RANK(C39,$C$5:$C$40)</f>
        <v>35</v>
      </c>
      <c r="B39" s="7" t="s">
        <v>63</v>
      </c>
      <c r="C39" s="13" t="n">
        <v>21</v>
      </c>
      <c r="D39" s="9" t="n">
        <f aca="false">C39/$C$41</f>
        <v>8.74664711860454E-005</v>
      </c>
    </row>
    <row r="40" customFormat="false" ht="15" hidden="false" customHeight="false" outlineLevel="0" collapsed="false">
      <c r="A40" s="12" t="n">
        <f aca="false">RANK(C40,$C$5:$C$40)</f>
        <v>36</v>
      </c>
      <c r="B40" s="7" t="s">
        <v>64</v>
      </c>
      <c r="C40" s="13" t="n">
        <v>3</v>
      </c>
      <c r="D40" s="9" t="n">
        <f aca="false">C40/$C$41</f>
        <v>1.24952101694351E-005</v>
      </c>
    </row>
    <row r="41" customFormat="false" ht="15" hidden="false" customHeight="false" outlineLevel="0" collapsed="false">
      <c r="A41" s="10"/>
      <c r="B41" s="10" t="s">
        <v>73</v>
      </c>
      <c r="C41" s="11" t="n">
        <f aca="false">SUM(C5:C40)</f>
        <v>240092</v>
      </c>
      <c r="D41" s="14" t="n">
        <f aca="false">SUM(D5:D40)</f>
        <v>1</v>
      </c>
    </row>
    <row r="42" customFormat="false" ht="15" hidden="false" customHeight="false" outlineLevel="0" collapsed="false">
      <c r="A42" s="10"/>
      <c r="B42" s="10" t="s">
        <v>74</v>
      </c>
      <c r="C42" s="15" t="n">
        <v>240092</v>
      </c>
      <c r="D42" s="10"/>
    </row>
    <row r="43" customFormat="false" ht="15" hidden="false" customHeight="false" outlineLevel="0" collapsed="false">
      <c r="A43" s="10"/>
      <c r="B43" s="10" t="s">
        <v>75</v>
      </c>
      <c r="C43" s="11" t="n">
        <f aca="false">C41-C42</f>
        <v>0</v>
      </c>
      <c r="D4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4" t="s">
        <v>76</v>
      </c>
    </row>
    <row r="2" customFormat="false" ht="15" hidden="false" customHeight="false" outlineLevel="0" collapsed="false">
      <c r="A2" s="5" t="s">
        <v>77</v>
      </c>
    </row>
    <row r="4" customFormat="false" ht="31.5" hidden="false" customHeight="true" outlineLevel="0" collapsed="false">
      <c r="A4" s="6" t="s">
        <v>22</v>
      </c>
      <c r="B4" s="6" t="s">
        <v>78</v>
      </c>
      <c r="C4" s="6" t="s">
        <v>79</v>
      </c>
      <c r="D4" s="6" t="s">
        <v>80</v>
      </c>
      <c r="E4" s="6" t="s">
        <v>81</v>
      </c>
      <c r="F4" s="6" t="s">
        <v>82</v>
      </c>
      <c r="G4" s="6" t="s">
        <v>83</v>
      </c>
    </row>
    <row r="5" customFormat="false" ht="15" hidden="false" customHeight="false" outlineLevel="0" collapsed="false">
      <c r="A5" s="7" t="s">
        <v>29</v>
      </c>
      <c r="B5" s="7" t="s">
        <v>84</v>
      </c>
      <c r="C5" s="13" t="n">
        <v>34079</v>
      </c>
      <c r="D5" s="13" t="n">
        <v>18750</v>
      </c>
      <c r="E5" s="12" t="n">
        <f aca="false">RANK(C5,$C$5:$C$716)</f>
        <v>2</v>
      </c>
      <c r="F5" s="12" t="n">
        <f aca="false">COUNTIFS($A$5:$A$716,A5,$C$5:$C$716,"&gt;"&amp;C5)+1</f>
        <v>1</v>
      </c>
      <c r="G5" s="9" t="n">
        <f aca="false">C5/SUMIFS($C$5:$C$716,$A$5:$A$716,A5)</f>
        <v>0.460495912438349</v>
      </c>
    </row>
    <row r="6" customFormat="false" ht="15" hidden="false" customHeight="false" outlineLevel="0" collapsed="false">
      <c r="A6" s="7" t="s">
        <v>29</v>
      </c>
      <c r="B6" s="7" t="s">
        <v>85</v>
      </c>
      <c r="C6" s="13" t="n">
        <v>19787</v>
      </c>
      <c r="D6" s="13" t="n">
        <v>11152</v>
      </c>
      <c r="E6" s="12" t="n">
        <f aca="false">RANK(C6,$C$5:$C$716)</f>
        <v>5</v>
      </c>
      <c r="F6" s="12" t="n">
        <f aca="false">COUNTIFS($A$5:$A$716,A6,$C$5:$C$716,"&gt;"&amp;C6)+1</f>
        <v>2</v>
      </c>
      <c r="G6" s="9" t="n">
        <f aca="false">C6/SUMIFS($C$5:$C$716,$A$5:$A$716,A6)</f>
        <v>0.267373826092832</v>
      </c>
    </row>
    <row r="7" customFormat="false" ht="15" hidden="false" customHeight="false" outlineLevel="0" collapsed="false">
      <c r="A7" s="7" t="s">
        <v>29</v>
      </c>
      <c r="B7" s="7" t="s">
        <v>86</v>
      </c>
      <c r="C7" s="13" t="n">
        <v>3991</v>
      </c>
      <c r="D7" s="8"/>
      <c r="E7" s="12" t="n">
        <f aca="false">RANK(C7,$C$5:$C$716)</f>
        <v>19</v>
      </c>
      <c r="F7" s="12" t="n">
        <f aca="false">COUNTIFS($A$5:$A$716,A7,$C$5:$C$716,"&gt;"&amp;C7)+1</f>
        <v>3</v>
      </c>
      <c r="G7" s="9" t="n">
        <f aca="false">C7/SUMIFS($C$5:$C$716,$A$5:$A$716,A7)</f>
        <v>0.0539287885953652</v>
      </c>
    </row>
    <row r="8" customFormat="false" ht="15" hidden="false" customHeight="false" outlineLevel="0" collapsed="false">
      <c r="A8" s="7" t="s">
        <v>29</v>
      </c>
      <c r="B8" s="7" t="s">
        <v>87</v>
      </c>
      <c r="C8" s="13" t="n">
        <v>2846</v>
      </c>
      <c r="D8" s="8"/>
      <c r="E8" s="12" t="n">
        <f aca="false">RANK(C8,$C$5:$C$716)</f>
        <v>25</v>
      </c>
      <c r="F8" s="12" t="n">
        <f aca="false">COUNTIFS($A$5:$A$716,A8,$C$5:$C$716,"&gt;"&amp;C8)+1</f>
        <v>4</v>
      </c>
      <c r="G8" s="9" t="n">
        <f aca="false">C8/SUMIFS($C$5:$C$716,$A$5:$A$716,A8)</f>
        <v>0.0384568610229039</v>
      </c>
    </row>
    <row r="9" customFormat="false" ht="15" hidden="false" customHeight="false" outlineLevel="0" collapsed="false">
      <c r="A9" s="7" t="s">
        <v>29</v>
      </c>
      <c r="B9" s="7" t="s">
        <v>88</v>
      </c>
      <c r="C9" s="13" t="n">
        <v>1977</v>
      </c>
      <c r="D9" s="8"/>
      <c r="E9" s="12" t="n">
        <f aca="false">RANK(C9,$C$5:$C$716)</f>
        <v>31</v>
      </c>
      <c r="F9" s="12" t="n">
        <f aca="false">COUNTIFS($A$5:$A$716,A9,$C$5:$C$716,"&gt;"&amp;C9)+1</f>
        <v>5</v>
      </c>
      <c r="G9" s="9" t="n">
        <f aca="false">C9/SUMIFS($C$5:$C$716,$A$5:$A$716,A9)</f>
        <v>0.0267144111884332</v>
      </c>
    </row>
    <row r="10" customFormat="false" ht="15" hidden="false" customHeight="false" outlineLevel="0" collapsed="false">
      <c r="A10" s="7" t="s">
        <v>29</v>
      </c>
      <c r="B10" s="7" t="s">
        <v>89</v>
      </c>
      <c r="C10" s="13" t="n">
        <v>1561</v>
      </c>
      <c r="D10" s="8"/>
      <c r="E10" s="12" t="n">
        <f aca="false">RANK(C10,$C$5:$C$716)</f>
        <v>36</v>
      </c>
      <c r="F10" s="12" t="n">
        <f aca="false">COUNTIFS($A$5:$A$716,A10,$C$5:$C$716,"&gt;"&amp;C10)+1</f>
        <v>6</v>
      </c>
      <c r="G10" s="9" t="n">
        <f aca="false">C10/SUMIFS($C$5:$C$716,$A$5:$A$716,A10)</f>
        <v>0.0210931693804473</v>
      </c>
    </row>
    <row r="11" customFormat="false" ht="15" hidden="false" customHeight="false" outlineLevel="0" collapsed="false">
      <c r="A11" s="7" t="s">
        <v>29</v>
      </c>
      <c r="B11" s="7" t="s">
        <v>90</v>
      </c>
      <c r="C11" s="13" t="n">
        <v>1023</v>
      </c>
      <c r="D11" s="8"/>
      <c r="E11" s="12" t="n">
        <f aca="false">RANK(C11,$C$5:$C$716)</f>
        <v>50</v>
      </c>
      <c r="F11" s="12" t="n">
        <f aca="false">COUNTIFS($A$5:$A$716,A11,$C$5:$C$716,"&gt;"&amp;C11)+1</f>
        <v>7</v>
      </c>
      <c r="G11" s="9" t="n">
        <f aca="false">C11/SUMIFS($C$5:$C$716,$A$5:$A$716,A11)</f>
        <v>0.0138233903114654</v>
      </c>
    </row>
    <row r="12" customFormat="false" ht="15" hidden="false" customHeight="false" outlineLevel="0" collapsed="false">
      <c r="A12" s="7" t="s">
        <v>29</v>
      </c>
      <c r="B12" s="7" t="s">
        <v>91</v>
      </c>
      <c r="C12" s="13" t="n">
        <v>991</v>
      </c>
      <c r="D12" s="8"/>
      <c r="E12" s="12" t="n">
        <f aca="false">RANK(C12,$C$5:$C$716)</f>
        <v>52</v>
      </c>
      <c r="F12" s="12" t="n">
        <f aca="false">COUNTIFS($A$5:$A$716,A12,$C$5:$C$716,"&gt;"&amp;C12)+1</f>
        <v>8</v>
      </c>
      <c r="G12" s="9" t="n">
        <f aca="false">C12/SUMIFS($C$5:$C$716,$A$5:$A$716,A12)</f>
        <v>0.0133909870954665</v>
      </c>
    </row>
    <row r="13" customFormat="false" ht="15" hidden="false" customHeight="false" outlineLevel="0" collapsed="false">
      <c r="A13" s="7" t="s">
        <v>29</v>
      </c>
      <c r="B13" s="7" t="s">
        <v>92</v>
      </c>
      <c r="C13" s="13" t="n">
        <v>664</v>
      </c>
      <c r="D13" s="8"/>
      <c r="E13" s="12" t="n">
        <f aca="false">RANK(C13,$C$5:$C$716)</f>
        <v>79</v>
      </c>
      <c r="F13" s="12" t="n">
        <f aca="false">COUNTIFS($A$5:$A$716,A13,$C$5:$C$716,"&gt;"&amp;C13)+1</f>
        <v>9</v>
      </c>
      <c r="G13" s="9" t="n">
        <f aca="false">C13/SUMIFS($C$5:$C$716,$A$5:$A$716,A13)</f>
        <v>0.00897236673197757</v>
      </c>
    </row>
    <row r="14" customFormat="false" ht="15" hidden="false" customHeight="false" outlineLevel="0" collapsed="false">
      <c r="A14" s="7" t="s">
        <v>29</v>
      </c>
      <c r="B14" s="7" t="s">
        <v>93</v>
      </c>
      <c r="C14" s="13" t="n">
        <v>655</v>
      </c>
      <c r="D14" s="8"/>
      <c r="E14" s="12" t="n">
        <f aca="false">RANK(C14,$C$5:$C$716)</f>
        <v>81</v>
      </c>
      <c r="F14" s="12" t="n">
        <f aca="false">COUNTIFS($A$5:$A$716,A14,$C$5:$C$716,"&gt;"&amp;C14)+1</f>
        <v>10</v>
      </c>
      <c r="G14" s="9" t="n">
        <f aca="false">C14/SUMIFS($C$5:$C$716,$A$5:$A$716,A14)</f>
        <v>0.00885075332747787</v>
      </c>
    </row>
    <row r="15" customFormat="false" ht="15" hidden="false" customHeight="false" outlineLevel="0" collapsed="false">
      <c r="A15" s="7" t="s">
        <v>29</v>
      </c>
      <c r="B15" s="7" t="s">
        <v>94</v>
      </c>
      <c r="C15" s="13" t="n">
        <v>609</v>
      </c>
      <c r="D15" s="8"/>
      <c r="E15" s="12" t="n">
        <f aca="false">RANK(C15,$C$5:$C$716)</f>
        <v>86</v>
      </c>
      <c r="F15" s="12" t="n">
        <f aca="false">COUNTIFS($A$5:$A$716,A15,$C$5:$C$716,"&gt;"&amp;C15)+1</f>
        <v>11</v>
      </c>
      <c r="G15" s="9" t="n">
        <f aca="false">C15/SUMIFS($C$5:$C$716,$A$5:$A$716,A15)</f>
        <v>0.00822917370447943</v>
      </c>
    </row>
    <row r="16" customFormat="false" ht="15" hidden="false" customHeight="false" outlineLevel="0" collapsed="false">
      <c r="A16" s="7" t="s">
        <v>29</v>
      </c>
      <c r="B16" s="7" t="s">
        <v>95</v>
      </c>
      <c r="C16" s="13" t="n">
        <v>579</v>
      </c>
      <c r="D16" s="8"/>
      <c r="E16" s="12" t="n">
        <f aca="false">RANK(C16,$C$5:$C$716)</f>
        <v>91</v>
      </c>
      <c r="F16" s="12" t="n">
        <f aca="false">COUNTIFS($A$5:$A$716,A16,$C$5:$C$716,"&gt;"&amp;C16)+1</f>
        <v>12</v>
      </c>
      <c r="G16" s="9" t="n">
        <f aca="false">C16/SUMIFS($C$5:$C$716,$A$5:$A$716,A16)</f>
        <v>0.00782379568948044</v>
      </c>
    </row>
    <row r="17" customFormat="false" ht="15" hidden="false" customHeight="false" outlineLevel="0" collapsed="false">
      <c r="A17" s="7" t="s">
        <v>29</v>
      </c>
      <c r="B17" s="7" t="s">
        <v>96</v>
      </c>
      <c r="C17" s="13" t="n">
        <v>516</v>
      </c>
      <c r="D17" s="8"/>
      <c r="E17" s="12" t="n">
        <f aca="false">RANK(C17,$C$5:$C$716)</f>
        <v>103</v>
      </c>
      <c r="F17" s="12" t="n">
        <f aca="false">COUNTIFS($A$5:$A$716,A17,$C$5:$C$716,"&gt;"&amp;C17)+1</f>
        <v>13</v>
      </c>
      <c r="G17" s="9" t="n">
        <f aca="false">C17/SUMIFS($C$5:$C$716,$A$5:$A$716,A17)</f>
        <v>0.00697250185798257</v>
      </c>
    </row>
    <row r="18" customFormat="false" ht="15" hidden="false" customHeight="false" outlineLevel="0" collapsed="false">
      <c r="A18" s="7" t="s">
        <v>29</v>
      </c>
      <c r="B18" s="7" t="s">
        <v>97</v>
      </c>
      <c r="C18" s="13" t="n">
        <v>365</v>
      </c>
      <c r="D18" s="8"/>
      <c r="E18" s="12" t="n">
        <f aca="false">RANK(C18,$C$5:$C$716)</f>
        <v>133</v>
      </c>
      <c r="F18" s="12" t="n">
        <f aca="false">COUNTIFS($A$5:$A$716,A18,$C$5:$C$716,"&gt;"&amp;C18)+1</f>
        <v>14</v>
      </c>
      <c r="G18" s="9" t="n">
        <f aca="false">C18/SUMIFS($C$5:$C$716,$A$5:$A$716,A18)</f>
        <v>0.00493209918248767</v>
      </c>
    </row>
    <row r="19" customFormat="false" ht="15" hidden="false" customHeight="false" outlineLevel="0" collapsed="false">
      <c r="A19" s="7" t="s">
        <v>29</v>
      </c>
      <c r="B19" s="7" t="s">
        <v>98</v>
      </c>
      <c r="C19" s="13" t="n">
        <v>359</v>
      </c>
      <c r="D19" s="8"/>
      <c r="E19" s="12" t="n">
        <f aca="false">RANK(C19,$C$5:$C$716)</f>
        <v>136</v>
      </c>
      <c r="F19" s="12" t="n">
        <f aca="false">COUNTIFS($A$5:$A$716,A19,$C$5:$C$716,"&gt;"&amp;C19)+1</f>
        <v>15</v>
      </c>
      <c r="G19" s="9" t="n">
        <f aca="false">C19/SUMIFS($C$5:$C$716,$A$5:$A$716,A19)</f>
        <v>0.00485102357948787</v>
      </c>
    </row>
    <row r="20" customFormat="false" ht="15" hidden="false" customHeight="false" outlineLevel="0" collapsed="false">
      <c r="A20" s="7" t="s">
        <v>29</v>
      </c>
      <c r="B20" s="7" t="s">
        <v>99</v>
      </c>
      <c r="C20" s="13" t="n">
        <v>343</v>
      </c>
      <c r="D20" s="8"/>
      <c r="E20" s="12" t="n">
        <f aca="false">RANK(C20,$C$5:$C$716)</f>
        <v>139</v>
      </c>
      <c r="F20" s="12" t="n">
        <f aca="false">COUNTIFS($A$5:$A$716,A20,$C$5:$C$716,"&gt;"&amp;C20)+1</f>
        <v>16</v>
      </c>
      <c r="G20" s="9" t="n">
        <f aca="false">C20/SUMIFS($C$5:$C$716,$A$5:$A$716,A20)</f>
        <v>0.00463482197148841</v>
      </c>
    </row>
    <row r="21" customFormat="false" ht="15" hidden="false" customHeight="false" outlineLevel="0" collapsed="false">
      <c r="A21" s="7" t="s">
        <v>29</v>
      </c>
      <c r="B21" s="7" t="s">
        <v>100</v>
      </c>
      <c r="C21" s="13" t="n">
        <v>280</v>
      </c>
      <c r="D21" s="8"/>
      <c r="E21" s="12" t="n">
        <f aca="false">RANK(C21,$C$5:$C$716)</f>
        <v>157</v>
      </c>
      <c r="F21" s="12" t="n">
        <f aca="false">COUNTIFS($A$5:$A$716,A21,$C$5:$C$716,"&gt;"&amp;C21)+1</f>
        <v>17</v>
      </c>
      <c r="G21" s="9" t="n">
        <f aca="false">C21/SUMIFS($C$5:$C$716,$A$5:$A$716,A21)</f>
        <v>0.00378352813999054</v>
      </c>
    </row>
    <row r="22" customFormat="false" ht="15" hidden="false" customHeight="false" outlineLevel="0" collapsed="false">
      <c r="A22" s="7" t="s">
        <v>29</v>
      </c>
      <c r="B22" s="7" t="s">
        <v>101</v>
      </c>
      <c r="C22" s="13" t="n">
        <v>263</v>
      </c>
      <c r="D22" s="8"/>
      <c r="E22" s="12" t="n">
        <f aca="false">RANK(C22,$C$5:$C$716)</f>
        <v>169</v>
      </c>
      <c r="F22" s="12" t="n">
        <f aca="false">COUNTIFS($A$5:$A$716,A22,$C$5:$C$716,"&gt;"&amp;C22)+1</f>
        <v>18</v>
      </c>
      <c r="G22" s="9" t="n">
        <f aca="false">C22/SUMIFS($C$5:$C$716,$A$5:$A$716,A22)</f>
        <v>0.00355381393149112</v>
      </c>
    </row>
    <row r="23" customFormat="false" ht="15" hidden="false" customHeight="false" outlineLevel="0" collapsed="false">
      <c r="A23" s="7" t="s">
        <v>29</v>
      </c>
      <c r="B23" s="7" t="s">
        <v>102</v>
      </c>
      <c r="C23" s="13" t="n">
        <v>248</v>
      </c>
      <c r="D23" s="8"/>
      <c r="E23" s="12" t="n">
        <f aca="false">RANK(C23,$C$5:$C$716)</f>
        <v>179</v>
      </c>
      <c r="F23" s="12" t="n">
        <f aca="false">COUNTIFS($A$5:$A$716,A23,$C$5:$C$716,"&gt;"&amp;C23)+1</f>
        <v>19</v>
      </c>
      <c r="G23" s="9" t="n">
        <f aca="false">C23/SUMIFS($C$5:$C$716,$A$5:$A$716,A23)</f>
        <v>0.00335112492399162</v>
      </c>
    </row>
    <row r="24" customFormat="false" ht="15" hidden="false" customHeight="false" outlineLevel="0" collapsed="false">
      <c r="A24" s="7" t="s">
        <v>29</v>
      </c>
      <c r="B24" s="7" t="s">
        <v>103</v>
      </c>
      <c r="C24" s="13" t="n">
        <v>244</v>
      </c>
      <c r="D24" s="8"/>
      <c r="E24" s="12" t="n">
        <f aca="false">RANK(C24,$C$5:$C$716)</f>
        <v>182</v>
      </c>
      <c r="F24" s="12" t="n">
        <f aca="false">COUNTIFS($A$5:$A$716,A24,$C$5:$C$716,"&gt;"&amp;C24)+1</f>
        <v>20</v>
      </c>
      <c r="G24" s="9" t="n">
        <f aca="false">C24/SUMIFS($C$5:$C$716,$A$5:$A$716,A24)</f>
        <v>0.00329707452199176</v>
      </c>
    </row>
    <row r="25" customFormat="false" ht="15" hidden="false" customHeight="false" outlineLevel="0" collapsed="false">
      <c r="A25" s="7" t="s">
        <v>29</v>
      </c>
      <c r="B25" s="7" t="s">
        <v>104</v>
      </c>
      <c r="C25" s="13" t="n">
        <v>222</v>
      </c>
      <c r="D25" s="8"/>
      <c r="E25" s="12" t="n">
        <f aca="false">RANK(C25,$C$5:$C$716)</f>
        <v>203</v>
      </c>
      <c r="F25" s="12" t="n">
        <f aca="false">COUNTIFS($A$5:$A$716,A25,$C$5:$C$716,"&gt;"&amp;C25)+1</f>
        <v>21</v>
      </c>
      <c r="G25" s="9" t="n">
        <f aca="false">C25/SUMIFS($C$5:$C$716,$A$5:$A$716,A25)</f>
        <v>0.0029997973109925</v>
      </c>
    </row>
    <row r="26" customFormat="false" ht="15" hidden="false" customHeight="false" outlineLevel="0" collapsed="false">
      <c r="A26" s="7" t="s">
        <v>29</v>
      </c>
      <c r="B26" s="7" t="s">
        <v>105</v>
      </c>
      <c r="C26" s="13" t="n">
        <v>210</v>
      </c>
      <c r="D26" s="8"/>
      <c r="E26" s="12" t="n">
        <f aca="false">RANK(C26,$C$5:$C$716)</f>
        <v>213</v>
      </c>
      <c r="F26" s="12" t="n">
        <f aca="false">COUNTIFS($A$5:$A$716,A26,$C$5:$C$716,"&gt;"&amp;C26)+1</f>
        <v>22</v>
      </c>
      <c r="G26" s="9" t="n">
        <f aca="false">C26/SUMIFS($C$5:$C$716,$A$5:$A$716,A26)</f>
        <v>0.00283764610499291</v>
      </c>
    </row>
    <row r="27" customFormat="false" ht="15" hidden="false" customHeight="false" outlineLevel="0" collapsed="false">
      <c r="A27" s="7" t="s">
        <v>29</v>
      </c>
      <c r="B27" s="7" t="s">
        <v>106</v>
      </c>
      <c r="C27" s="13" t="n">
        <v>206</v>
      </c>
      <c r="D27" s="8"/>
      <c r="E27" s="12" t="n">
        <f aca="false">RANK(C27,$C$5:$C$716)</f>
        <v>220</v>
      </c>
      <c r="F27" s="12" t="n">
        <f aca="false">COUNTIFS($A$5:$A$716,A27,$C$5:$C$716,"&gt;"&amp;C27)+1</f>
        <v>23</v>
      </c>
      <c r="G27" s="9" t="n">
        <f aca="false">C27/SUMIFS($C$5:$C$716,$A$5:$A$716,A27)</f>
        <v>0.00278359570299304</v>
      </c>
    </row>
    <row r="28" customFormat="false" ht="15" hidden="false" customHeight="false" outlineLevel="0" collapsed="false">
      <c r="A28" s="7" t="s">
        <v>29</v>
      </c>
      <c r="B28" s="7" t="s">
        <v>107</v>
      </c>
      <c r="C28" s="13" t="n">
        <v>181</v>
      </c>
      <c r="D28" s="8"/>
      <c r="E28" s="12" t="n">
        <f aca="false">RANK(C28,$C$5:$C$716)</f>
        <v>243</v>
      </c>
      <c r="F28" s="12" t="n">
        <f aca="false">COUNTIFS($A$5:$A$716,A28,$C$5:$C$716,"&gt;"&amp;C28)+1</f>
        <v>24</v>
      </c>
      <c r="G28" s="9" t="n">
        <f aca="false">C28/SUMIFS($C$5:$C$716,$A$5:$A$716,A28)</f>
        <v>0.00244578069049389</v>
      </c>
    </row>
    <row r="29" customFormat="false" ht="15" hidden="false" customHeight="false" outlineLevel="0" collapsed="false">
      <c r="A29" s="7" t="s">
        <v>29</v>
      </c>
      <c r="B29" s="7" t="s">
        <v>108</v>
      </c>
      <c r="C29" s="13" t="n">
        <v>176</v>
      </c>
      <c r="D29" s="8"/>
      <c r="E29" s="12" t="n">
        <f aca="false">RANK(C29,$C$5:$C$716)</f>
        <v>251</v>
      </c>
      <c r="F29" s="12" t="n">
        <f aca="false">COUNTIFS($A$5:$A$716,A29,$C$5:$C$716,"&gt;"&amp;C29)+1</f>
        <v>25</v>
      </c>
      <c r="G29" s="9" t="n">
        <f aca="false">C29/SUMIFS($C$5:$C$716,$A$5:$A$716,A29)</f>
        <v>0.00237821768799405</v>
      </c>
    </row>
    <row r="30" customFormat="false" ht="15" hidden="false" customHeight="false" outlineLevel="0" collapsed="false">
      <c r="A30" s="7" t="s">
        <v>29</v>
      </c>
      <c r="B30" s="7" t="s">
        <v>109</v>
      </c>
      <c r="C30" s="13" t="n">
        <v>173</v>
      </c>
      <c r="D30" s="8"/>
      <c r="E30" s="12" t="n">
        <f aca="false">RANK(C30,$C$5:$C$716)</f>
        <v>257</v>
      </c>
      <c r="F30" s="12" t="n">
        <f aca="false">COUNTIFS($A$5:$A$716,A30,$C$5:$C$716,"&gt;"&amp;C30)+1</f>
        <v>26</v>
      </c>
      <c r="G30" s="9" t="n">
        <f aca="false">C30/SUMIFS($C$5:$C$716,$A$5:$A$716,A30)</f>
        <v>0.00233767988649416</v>
      </c>
    </row>
    <row r="31" customFormat="false" ht="15" hidden="false" customHeight="false" outlineLevel="0" collapsed="false">
      <c r="A31" s="7" t="s">
        <v>29</v>
      </c>
      <c r="B31" s="7" t="s">
        <v>110</v>
      </c>
      <c r="C31" s="13" t="n">
        <v>161</v>
      </c>
      <c r="D31" s="8"/>
      <c r="E31" s="12" t="n">
        <f aca="false">RANK(C31,$C$5:$C$716)</f>
        <v>270</v>
      </c>
      <c r="F31" s="12" t="n">
        <f aca="false">COUNTIFS($A$5:$A$716,A31,$C$5:$C$716,"&gt;"&amp;C31)+1</f>
        <v>27</v>
      </c>
      <c r="G31" s="9" t="n">
        <f aca="false">C31/SUMIFS($C$5:$C$716,$A$5:$A$716,A31)</f>
        <v>0.00217552868049456</v>
      </c>
    </row>
    <row r="32" customFormat="false" ht="15" hidden="false" customHeight="false" outlineLevel="0" collapsed="false">
      <c r="A32" s="7" t="s">
        <v>29</v>
      </c>
      <c r="B32" s="7" t="s">
        <v>111</v>
      </c>
      <c r="C32" s="13" t="n">
        <v>129</v>
      </c>
      <c r="D32" s="8"/>
      <c r="E32" s="12" t="n">
        <f aca="false">RANK(C32,$C$5:$C$716)</f>
        <v>326</v>
      </c>
      <c r="F32" s="12" t="n">
        <f aca="false">COUNTIFS($A$5:$A$716,A32,$C$5:$C$716,"&gt;"&amp;C32)+1</f>
        <v>28</v>
      </c>
      <c r="G32" s="9" t="n">
        <f aca="false">C32/SUMIFS($C$5:$C$716,$A$5:$A$716,A32)</f>
        <v>0.00174312546449564</v>
      </c>
    </row>
    <row r="33" customFormat="false" ht="15" hidden="false" customHeight="false" outlineLevel="0" collapsed="false">
      <c r="A33" s="7" t="s">
        <v>29</v>
      </c>
      <c r="B33" s="7" t="s">
        <v>112</v>
      </c>
      <c r="C33" s="13" t="n">
        <v>124</v>
      </c>
      <c r="D33" s="8"/>
      <c r="E33" s="12" t="n">
        <f aca="false">RANK(C33,$C$5:$C$716)</f>
        <v>337</v>
      </c>
      <c r="F33" s="12" t="n">
        <f aca="false">COUNTIFS($A$5:$A$716,A33,$C$5:$C$716,"&gt;"&amp;C33)+1</f>
        <v>29</v>
      </c>
      <c r="G33" s="9" t="n">
        <f aca="false">C33/SUMIFS($C$5:$C$716,$A$5:$A$716,A33)</f>
        <v>0.00167556246199581</v>
      </c>
    </row>
    <row r="34" customFormat="false" ht="15" hidden="false" customHeight="false" outlineLevel="0" collapsed="false">
      <c r="A34" s="7" t="s">
        <v>29</v>
      </c>
      <c r="B34" s="7" t="s">
        <v>113</v>
      </c>
      <c r="C34" s="13" t="n">
        <v>111</v>
      </c>
      <c r="D34" s="8"/>
      <c r="E34" s="12" t="n">
        <f aca="false">RANK(C34,$C$5:$C$716)</f>
        <v>368</v>
      </c>
      <c r="F34" s="12" t="n">
        <f aca="false">COUNTIFS($A$5:$A$716,A34,$C$5:$C$716,"&gt;"&amp;C34)+1</f>
        <v>30</v>
      </c>
      <c r="G34" s="9" t="n">
        <f aca="false">C34/SUMIFS($C$5:$C$716,$A$5:$A$716,A34)</f>
        <v>0.00149989865549625</v>
      </c>
    </row>
    <row r="35" customFormat="false" ht="15" hidden="false" customHeight="false" outlineLevel="0" collapsed="false">
      <c r="A35" s="7" t="s">
        <v>29</v>
      </c>
      <c r="B35" s="7" t="s">
        <v>114</v>
      </c>
      <c r="C35" s="13" t="n">
        <v>108</v>
      </c>
      <c r="D35" s="8"/>
      <c r="E35" s="12" t="n">
        <f aca="false">RANK(C35,$C$5:$C$716)</f>
        <v>377</v>
      </c>
      <c r="F35" s="12" t="n">
        <f aca="false">COUNTIFS($A$5:$A$716,A35,$C$5:$C$716,"&gt;"&amp;C35)+1</f>
        <v>31</v>
      </c>
      <c r="G35" s="9" t="n">
        <f aca="false">C35/SUMIFS($C$5:$C$716,$A$5:$A$716,A35)</f>
        <v>0.00145936085399635</v>
      </c>
    </row>
    <row r="36" customFormat="false" ht="15" hidden="false" customHeight="false" outlineLevel="0" collapsed="false">
      <c r="A36" s="7" t="s">
        <v>29</v>
      </c>
      <c r="B36" s="7" t="s">
        <v>115</v>
      </c>
      <c r="C36" s="13" t="n">
        <v>106</v>
      </c>
      <c r="D36" s="8"/>
      <c r="E36" s="12" t="n">
        <f aca="false">RANK(C36,$C$5:$C$716)</f>
        <v>380</v>
      </c>
      <c r="F36" s="12" t="n">
        <f aca="false">COUNTIFS($A$5:$A$716,A36,$C$5:$C$716,"&gt;"&amp;C36)+1</f>
        <v>32</v>
      </c>
      <c r="G36" s="9" t="n">
        <f aca="false">C36/SUMIFS($C$5:$C$716,$A$5:$A$716,A36)</f>
        <v>0.00143233565299642</v>
      </c>
    </row>
    <row r="37" customFormat="false" ht="15" hidden="false" customHeight="false" outlineLevel="0" collapsed="false">
      <c r="A37" s="7" t="s">
        <v>29</v>
      </c>
      <c r="B37" s="7" t="s">
        <v>116</v>
      </c>
      <c r="C37" s="13" t="n">
        <v>104</v>
      </c>
      <c r="D37" s="8"/>
      <c r="E37" s="12" t="n">
        <f aca="false">RANK(C37,$C$5:$C$716)</f>
        <v>387</v>
      </c>
      <c r="F37" s="12" t="n">
        <f aca="false">COUNTIFS($A$5:$A$716,A37,$C$5:$C$716,"&gt;"&amp;C37)+1</f>
        <v>33</v>
      </c>
      <c r="G37" s="9" t="n">
        <f aca="false">C37/SUMIFS($C$5:$C$716,$A$5:$A$716,A37)</f>
        <v>0.00140531045199649</v>
      </c>
    </row>
    <row r="38" customFormat="false" ht="15" hidden="false" customHeight="false" outlineLevel="0" collapsed="false">
      <c r="A38" s="7" t="s">
        <v>29</v>
      </c>
      <c r="B38" s="7" t="s">
        <v>117</v>
      </c>
      <c r="C38" s="13" t="n">
        <v>101</v>
      </c>
      <c r="D38" s="8"/>
      <c r="E38" s="12" t="n">
        <f aca="false">RANK(C38,$C$5:$C$716)</f>
        <v>393</v>
      </c>
      <c r="F38" s="12" t="n">
        <f aca="false">COUNTIFS($A$5:$A$716,A38,$C$5:$C$716,"&gt;"&amp;C38)+1</f>
        <v>34</v>
      </c>
      <c r="G38" s="9" t="n">
        <f aca="false">C38/SUMIFS($C$5:$C$716,$A$5:$A$716,A38)</f>
        <v>0.00136477265049659</v>
      </c>
    </row>
    <row r="39" customFormat="false" ht="15" hidden="false" customHeight="false" outlineLevel="0" collapsed="false">
      <c r="A39" s="7" t="s">
        <v>29</v>
      </c>
      <c r="B39" s="7" t="s">
        <v>118</v>
      </c>
      <c r="C39" s="13" t="n">
        <v>84</v>
      </c>
      <c r="D39" s="8"/>
      <c r="E39" s="12" t="n">
        <f aca="false">RANK(C39,$C$5:$C$716)</f>
        <v>432</v>
      </c>
      <c r="F39" s="12" t="n">
        <f aca="false">COUNTIFS($A$5:$A$716,A39,$C$5:$C$716,"&gt;"&amp;C39)+1</f>
        <v>35</v>
      </c>
      <c r="G39" s="9" t="n">
        <f aca="false">C39/SUMIFS($C$5:$C$716,$A$5:$A$716,A39)</f>
        <v>0.00113505844199716</v>
      </c>
    </row>
    <row r="40" customFormat="false" ht="15" hidden="false" customHeight="false" outlineLevel="0" collapsed="false">
      <c r="A40" s="7" t="s">
        <v>29</v>
      </c>
      <c r="B40" s="7" t="s">
        <v>119</v>
      </c>
      <c r="C40" s="13" t="n">
        <v>82</v>
      </c>
      <c r="D40" s="8"/>
      <c r="E40" s="12" t="n">
        <f aca="false">RANK(C40,$C$5:$C$716)</f>
        <v>447</v>
      </c>
      <c r="F40" s="12" t="n">
        <f aca="false">COUNTIFS($A$5:$A$716,A40,$C$5:$C$716,"&gt;"&amp;C40)+1</f>
        <v>36</v>
      </c>
      <c r="G40" s="9" t="n">
        <f aca="false">C40/SUMIFS($C$5:$C$716,$A$5:$A$716,A40)</f>
        <v>0.00110803324099723</v>
      </c>
    </row>
    <row r="41" customFormat="false" ht="15" hidden="false" customHeight="false" outlineLevel="0" collapsed="false">
      <c r="A41" s="7" t="s">
        <v>29</v>
      </c>
      <c r="B41" s="7" t="s">
        <v>120</v>
      </c>
      <c r="C41" s="13" t="n">
        <v>74</v>
      </c>
      <c r="D41" s="8"/>
      <c r="E41" s="12" t="n">
        <f aca="false">RANK(C41,$C$5:$C$716)</f>
        <v>472</v>
      </c>
      <c r="F41" s="12" t="n">
        <f aca="false">COUNTIFS($A$5:$A$716,A41,$C$5:$C$716,"&gt;"&amp;C41)+1</f>
        <v>37</v>
      </c>
      <c r="G41" s="9" t="n">
        <f aca="false">C41/SUMIFS($C$5:$C$716,$A$5:$A$716,A41)</f>
        <v>0.0009999324369975</v>
      </c>
    </row>
    <row r="42" customFormat="false" ht="15" hidden="false" customHeight="false" outlineLevel="0" collapsed="false">
      <c r="A42" s="7" t="s">
        <v>29</v>
      </c>
      <c r="B42" s="7" t="s">
        <v>121</v>
      </c>
      <c r="C42" s="13" t="n">
        <v>73</v>
      </c>
      <c r="D42" s="8"/>
      <c r="E42" s="12" t="n">
        <f aca="false">RANK(C42,$C$5:$C$716)</f>
        <v>475</v>
      </c>
      <c r="F42" s="12" t="n">
        <f aca="false">COUNTIFS($A$5:$A$716,A42,$C$5:$C$716,"&gt;"&amp;C42)+1</f>
        <v>38</v>
      </c>
      <c r="G42" s="9" t="n">
        <f aca="false">C42/SUMIFS($C$5:$C$716,$A$5:$A$716,A42)</f>
        <v>0.000986419836497534</v>
      </c>
    </row>
    <row r="43" customFormat="false" ht="15" hidden="false" customHeight="false" outlineLevel="0" collapsed="false">
      <c r="A43" s="7" t="s">
        <v>29</v>
      </c>
      <c r="B43" s="7" t="s">
        <v>122</v>
      </c>
      <c r="C43" s="13" t="n">
        <v>64</v>
      </c>
      <c r="D43" s="8"/>
      <c r="E43" s="12" t="n">
        <f aca="false">RANK(C43,$C$5:$C$716)</f>
        <v>508</v>
      </c>
      <c r="F43" s="12" t="n">
        <f aca="false">COUNTIFS($A$5:$A$716,A43,$C$5:$C$716,"&gt;"&amp;C43)+1</f>
        <v>39</v>
      </c>
      <c r="G43" s="9" t="n">
        <f aca="false">C43/SUMIFS($C$5:$C$716,$A$5:$A$716,A43)</f>
        <v>0.000864806431997838</v>
      </c>
    </row>
    <row r="44" customFormat="false" ht="15" hidden="false" customHeight="false" outlineLevel="0" collapsed="false">
      <c r="A44" s="7" t="s">
        <v>29</v>
      </c>
      <c r="B44" s="7" t="s">
        <v>123</v>
      </c>
      <c r="C44" s="13" t="n">
        <v>40</v>
      </c>
      <c r="D44" s="8"/>
      <c r="E44" s="12" t="n">
        <f aca="false">RANK(C44,$C$5:$C$716)</f>
        <v>615</v>
      </c>
      <c r="F44" s="12" t="n">
        <f aca="false">COUNTIFS($A$5:$A$716,A44,$C$5:$C$716,"&gt;"&amp;C44)+1</f>
        <v>40</v>
      </c>
      <c r="G44" s="9" t="n">
        <f aca="false">C44/SUMIFS($C$5:$C$716,$A$5:$A$716,A44)</f>
        <v>0.000540504019998649</v>
      </c>
    </row>
    <row r="45" customFormat="false" ht="15" hidden="false" customHeight="false" outlineLevel="0" collapsed="false">
      <c r="A45" s="7" t="s">
        <v>29</v>
      </c>
      <c r="B45" s="7" t="s">
        <v>124</v>
      </c>
      <c r="C45" s="13" t="n">
        <v>34</v>
      </c>
      <c r="D45" s="8"/>
      <c r="E45" s="12" t="n">
        <f aca="false">RANK(C45,$C$5:$C$716)</f>
        <v>655</v>
      </c>
      <c r="F45" s="12" t="n">
        <f aca="false">COUNTIFS($A$5:$A$716,A45,$C$5:$C$716,"&gt;"&amp;C45)+1</f>
        <v>41</v>
      </c>
      <c r="G45" s="9" t="n">
        <f aca="false">C45/SUMIFS($C$5:$C$716,$A$5:$A$716,A45)</f>
        <v>0.000459428416998851</v>
      </c>
    </row>
    <row r="46" customFormat="false" ht="15" hidden="false" customHeight="false" outlineLevel="0" collapsed="false">
      <c r="A46" s="7" t="s">
        <v>29</v>
      </c>
      <c r="B46" s="7" t="s">
        <v>125</v>
      </c>
      <c r="C46" s="13" t="n">
        <v>33</v>
      </c>
      <c r="D46" s="8"/>
      <c r="E46" s="12" t="n">
        <f aca="false">RANK(C46,$C$5:$C$716)</f>
        <v>661</v>
      </c>
      <c r="F46" s="12" t="n">
        <f aca="false">COUNTIFS($A$5:$A$716,A46,$C$5:$C$716,"&gt;"&amp;C46)+1</f>
        <v>42</v>
      </c>
      <c r="G46" s="9" t="n">
        <f aca="false">C46/SUMIFS($C$5:$C$716,$A$5:$A$716,A46)</f>
        <v>0.000445915816498885</v>
      </c>
    </row>
    <row r="47" customFormat="false" ht="15" hidden="false" customHeight="false" outlineLevel="0" collapsed="false">
      <c r="A47" s="7" t="s">
        <v>29</v>
      </c>
      <c r="B47" s="7" t="s">
        <v>126</v>
      </c>
      <c r="C47" s="13" t="n">
        <v>29</v>
      </c>
      <c r="D47" s="8"/>
      <c r="E47" s="12" t="n">
        <f aca="false">RANK(C47,$C$5:$C$716)</f>
        <v>690</v>
      </c>
      <c r="F47" s="12" t="n">
        <f aca="false">COUNTIFS($A$5:$A$716,A47,$C$5:$C$716,"&gt;"&amp;C47)+1</f>
        <v>43</v>
      </c>
      <c r="G47" s="9" t="n">
        <f aca="false">C47/SUMIFS($C$5:$C$716,$A$5:$A$716,A47)</f>
        <v>0.00039186541449902</v>
      </c>
    </row>
    <row r="48" customFormat="false" ht="15" hidden="false" customHeight="false" outlineLevel="0" collapsed="false">
      <c r="A48" s="7" t="s">
        <v>31</v>
      </c>
      <c r="B48" s="7" t="s">
        <v>127</v>
      </c>
      <c r="C48" s="13" t="n">
        <v>10942</v>
      </c>
      <c r="D48" s="13" t="n">
        <v>6335</v>
      </c>
      <c r="E48" s="12" t="n">
        <f aca="false">RANK(C48,$C$5:$C$716)</f>
        <v>9</v>
      </c>
      <c r="F48" s="12" t="n">
        <f aca="false">COUNTIFS($A$5:$A$716,A48,$C$5:$C$716,"&gt;"&amp;C48)+1</f>
        <v>1</v>
      </c>
      <c r="G48" s="9" t="n">
        <f aca="false">C48/SUMIFS($C$5:$C$716,$A$5:$A$716,A48)</f>
        <v>0.243735103468247</v>
      </c>
    </row>
    <row r="49" customFormat="false" ht="15" hidden="false" customHeight="false" outlineLevel="0" collapsed="false">
      <c r="A49" s="7" t="s">
        <v>31</v>
      </c>
      <c r="B49" s="7" t="s">
        <v>128</v>
      </c>
      <c r="C49" s="13" t="n">
        <v>7614</v>
      </c>
      <c r="D49" s="13" t="n">
        <v>3621</v>
      </c>
      <c r="E49" s="12" t="n">
        <f aca="false">RANK(C49,$C$5:$C$716)</f>
        <v>12</v>
      </c>
      <c r="F49" s="12" t="n">
        <f aca="false">COUNTIFS($A$5:$A$716,A49,$C$5:$C$716,"&gt;"&amp;C49)+1</f>
        <v>2</v>
      </c>
      <c r="G49" s="9" t="n">
        <f aca="false">C49/SUMIFS($C$5:$C$716,$A$5:$A$716,A49)</f>
        <v>0.169603278907625</v>
      </c>
    </row>
    <row r="50" customFormat="false" ht="15" hidden="false" customHeight="false" outlineLevel="0" collapsed="false">
      <c r="A50" s="7" t="s">
        <v>31</v>
      </c>
      <c r="B50" s="7" t="s">
        <v>129</v>
      </c>
      <c r="C50" s="13" t="n">
        <v>5710</v>
      </c>
      <c r="D50" s="8"/>
      <c r="E50" s="12" t="n">
        <f aca="false">RANK(C50,$C$5:$C$716)</f>
        <v>13</v>
      </c>
      <c r="F50" s="12" t="n">
        <f aca="false">COUNTIFS($A$5:$A$716,A50,$C$5:$C$716,"&gt;"&amp;C50)+1</f>
        <v>3</v>
      </c>
      <c r="G50" s="9" t="n">
        <f aca="false">C50/SUMIFS($C$5:$C$716,$A$5:$A$716,A50)</f>
        <v>0.127191321586884</v>
      </c>
    </row>
    <row r="51" customFormat="false" ht="15" hidden="false" customHeight="false" outlineLevel="0" collapsed="false">
      <c r="A51" s="7" t="s">
        <v>31</v>
      </c>
      <c r="B51" s="7" t="s">
        <v>130</v>
      </c>
      <c r="C51" s="13" t="n">
        <v>2694</v>
      </c>
      <c r="D51" s="8"/>
      <c r="E51" s="12" t="n">
        <f aca="false">RANK(C51,$C$5:$C$716)</f>
        <v>26</v>
      </c>
      <c r="F51" s="12" t="n">
        <f aca="false">COUNTIFS($A$5:$A$716,A51,$C$5:$C$716,"&gt;"&amp;C51)+1</f>
        <v>4</v>
      </c>
      <c r="G51" s="9" t="n">
        <f aca="false">C51/SUMIFS($C$5:$C$716,$A$5:$A$716,A51)</f>
        <v>0.0600093555788208</v>
      </c>
    </row>
    <row r="52" customFormat="false" ht="15" hidden="false" customHeight="false" outlineLevel="0" collapsed="false">
      <c r="A52" s="7" t="s">
        <v>31</v>
      </c>
      <c r="B52" s="7" t="s">
        <v>131</v>
      </c>
      <c r="C52" s="13" t="n">
        <v>1716</v>
      </c>
      <c r="D52" s="8"/>
      <c r="E52" s="12" t="n">
        <f aca="false">RANK(C52,$C$5:$C$716)</f>
        <v>35</v>
      </c>
      <c r="F52" s="12" t="n">
        <f aca="false">COUNTIFS($A$5:$A$716,A52,$C$5:$C$716,"&gt;"&amp;C52)+1</f>
        <v>5</v>
      </c>
      <c r="G52" s="9" t="n">
        <f aca="false">C52/SUMIFS($C$5:$C$716,$A$5:$A$716,A52)</f>
        <v>0.0382242220390707</v>
      </c>
    </row>
    <row r="53" customFormat="false" ht="15" hidden="false" customHeight="false" outlineLevel="0" collapsed="false">
      <c r="A53" s="7" t="s">
        <v>31</v>
      </c>
      <c r="B53" s="7" t="s">
        <v>132</v>
      </c>
      <c r="C53" s="13" t="n">
        <v>1513</v>
      </c>
      <c r="D53" s="8"/>
      <c r="E53" s="12" t="n">
        <f aca="false">RANK(C53,$C$5:$C$716)</f>
        <v>39</v>
      </c>
      <c r="F53" s="12" t="n">
        <f aca="false">COUNTIFS($A$5:$A$716,A53,$C$5:$C$716,"&gt;"&amp;C53)+1</f>
        <v>6</v>
      </c>
      <c r="G53" s="9" t="n">
        <f aca="false">C53/SUMIFS($C$5:$C$716,$A$5:$A$716,A53)</f>
        <v>0.0337023589423741</v>
      </c>
    </row>
    <row r="54" customFormat="false" ht="15" hidden="false" customHeight="false" outlineLevel="0" collapsed="false">
      <c r="A54" s="7" t="s">
        <v>31</v>
      </c>
      <c r="B54" s="7" t="s">
        <v>133</v>
      </c>
      <c r="C54" s="13" t="n">
        <v>1463</v>
      </c>
      <c r="D54" s="8"/>
      <c r="E54" s="12" t="n">
        <f aca="false">RANK(C54,$C$5:$C$716)</f>
        <v>40</v>
      </c>
      <c r="F54" s="12" t="n">
        <f aca="false">COUNTIFS($A$5:$A$716,A54,$C$5:$C$716,"&gt;"&amp;C54)+1</f>
        <v>7</v>
      </c>
      <c r="G54" s="9" t="n">
        <f aca="false">C54/SUMIFS($C$5:$C$716,$A$5:$A$716,A54)</f>
        <v>0.0325885995589513</v>
      </c>
    </row>
    <row r="55" customFormat="false" ht="15" hidden="false" customHeight="false" outlineLevel="0" collapsed="false">
      <c r="A55" s="7" t="s">
        <v>31</v>
      </c>
      <c r="B55" s="7" t="s">
        <v>134</v>
      </c>
      <c r="C55" s="13" t="n">
        <v>1423</v>
      </c>
      <c r="D55" s="8"/>
      <c r="E55" s="12" t="n">
        <f aca="false">RANK(C55,$C$5:$C$716)</f>
        <v>41</v>
      </c>
      <c r="F55" s="12" t="n">
        <f aca="false">COUNTIFS($A$5:$A$716,A55,$C$5:$C$716,"&gt;"&amp;C55)+1</f>
        <v>8</v>
      </c>
      <c r="G55" s="9" t="n">
        <f aca="false">C55/SUMIFS($C$5:$C$716,$A$5:$A$716,A55)</f>
        <v>0.031697592052213</v>
      </c>
    </row>
    <row r="56" customFormat="false" ht="15" hidden="false" customHeight="false" outlineLevel="0" collapsed="false">
      <c r="A56" s="7" t="s">
        <v>31</v>
      </c>
      <c r="B56" s="7" t="s">
        <v>135</v>
      </c>
      <c r="C56" s="13" t="n">
        <v>979</v>
      </c>
      <c r="D56" s="8"/>
      <c r="E56" s="12" t="n">
        <f aca="false">RANK(C56,$C$5:$C$716)</f>
        <v>53</v>
      </c>
      <c r="F56" s="12" t="n">
        <f aca="false">COUNTIFS($A$5:$A$716,A56,$C$5:$C$716,"&gt;"&amp;C56)+1</f>
        <v>9</v>
      </c>
      <c r="G56" s="9" t="n">
        <f aca="false">C56/SUMIFS($C$5:$C$716,$A$5:$A$716,A56)</f>
        <v>0.0218074087274185</v>
      </c>
    </row>
    <row r="57" customFormat="false" ht="15" hidden="false" customHeight="false" outlineLevel="0" collapsed="false">
      <c r="A57" s="7" t="s">
        <v>31</v>
      </c>
      <c r="B57" s="7" t="s">
        <v>136</v>
      </c>
      <c r="C57" s="13" t="n">
        <v>782</v>
      </c>
      <c r="D57" s="8"/>
      <c r="E57" s="12" t="n">
        <f aca="false">RANK(C57,$C$5:$C$716)</f>
        <v>66</v>
      </c>
      <c r="F57" s="12" t="n">
        <f aca="false">COUNTIFS($A$5:$A$716,A57,$C$5:$C$716,"&gt;"&amp;C57)+1</f>
        <v>10</v>
      </c>
      <c r="G57" s="9" t="n">
        <f aca="false">C57/SUMIFS($C$5:$C$716,$A$5:$A$716,A57)</f>
        <v>0.0174191967567327</v>
      </c>
    </row>
    <row r="58" customFormat="false" ht="15" hidden="false" customHeight="false" outlineLevel="0" collapsed="false">
      <c r="A58" s="7" t="s">
        <v>31</v>
      </c>
      <c r="B58" s="7" t="s">
        <v>137</v>
      </c>
      <c r="C58" s="13" t="n">
        <v>600</v>
      </c>
      <c r="D58" s="8"/>
      <c r="E58" s="12" t="n">
        <f aca="false">RANK(C58,$C$5:$C$716)</f>
        <v>88</v>
      </c>
      <c r="F58" s="12" t="n">
        <f aca="false">COUNTIFS($A$5:$A$716,A58,$C$5:$C$716,"&gt;"&amp;C58)+1</f>
        <v>11</v>
      </c>
      <c r="G58" s="9" t="n">
        <f aca="false">C58/SUMIFS($C$5:$C$716,$A$5:$A$716,A58)</f>
        <v>0.0133651126010737</v>
      </c>
    </row>
    <row r="59" customFormat="false" ht="15" hidden="false" customHeight="false" outlineLevel="0" collapsed="false">
      <c r="A59" s="7" t="s">
        <v>31</v>
      </c>
      <c r="B59" s="7" t="s">
        <v>138</v>
      </c>
      <c r="C59" s="13" t="n">
        <v>562</v>
      </c>
      <c r="D59" s="8"/>
      <c r="E59" s="12" t="n">
        <f aca="false">RANK(C59,$C$5:$C$716)</f>
        <v>95</v>
      </c>
      <c r="F59" s="12" t="n">
        <f aca="false">COUNTIFS($A$5:$A$716,A59,$C$5:$C$716,"&gt;"&amp;C59)+1</f>
        <v>12</v>
      </c>
      <c r="G59" s="9" t="n">
        <f aca="false">C59/SUMIFS($C$5:$C$716,$A$5:$A$716,A59)</f>
        <v>0.0125186554696723</v>
      </c>
    </row>
    <row r="60" customFormat="false" ht="15" hidden="false" customHeight="false" outlineLevel="0" collapsed="false">
      <c r="A60" s="7" t="s">
        <v>31</v>
      </c>
      <c r="B60" s="7" t="s">
        <v>139</v>
      </c>
      <c r="C60" s="13" t="n">
        <v>555</v>
      </c>
      <c r="D60" s="8"/>
      <c r="E60" s="12" t="n">
        <f aca="false">RANK(C60,$C$5:$C$716)</f>
        <v>96</v>
      </c>
      <c r="F60" s="12" t="n">
        <f aca="false">COUNTIFS($A$5:$A$716,A60,$C$5:$C$716,"&gt;"&amp;C60)+1</f>
        <v>13</v>
      </c>
      <c r="G60" s="9" t="n">
        <f aca="false">C60/SUMIFS($C$5:$C$716,$A$5:$A$716,A60)</f>
        <v>0.0123627291559931</v>
      </c>
    </row>
    <row r="61" customFormat="false" ht="15" hidden="false" customHeight="false" outlineLevel="0" collapsed="false">
      <c r="A61" s="7" t="s">
        <v>31</v>
      </c>
      <c r="B61" s="7" t="s">
        <v>140</v>
      </c>
      <c r="C61" s="13" t="n">
        <v>549</v>
      </c>
      <c r="D61" s="8"/>
      <c r="E61" s="12" t="n">
        <f aca="false">RANK(C61,$C$5:$C$716)</f>
        <v>98</v>
      </c>
      <c r="F61" s="12" t="n">
        <f aca="false">COUNTIFS($A$5:$A$716,A61,$C$5:$C$716,"&gt;"&amp;C61)+1</f>
        <v>14</v>
      </c>
      <c r="G61" s="9" t="n">
        <f aca="false">C61/SUMIFS($C$5:$C$716,$A$5:$A$716,A61)</f>
        <v>0.0122290780299824</v>
      </c>
    </row>
    <row r="62" customFormat="false" ht="15" hidden="false" customHeight="false" outlineLevel="0" collapsed="false">
      <c r="A62" s="7" t="s">
        <v>31</v>
      </c>
      <c r="B62" s="7" t="s">
        <v>141</v>
      </c>
      <c r="C62" s="13" t="n">
        <v>424</v>
      </c>
      <c r="D62" s="8"/>
      <c r="E62" s="12" t="n">
        <f aca="false">RANK(C62,$C$5:$C$716)</f>
        <v>119</v>
      </c>
      <c r="F62" s="12" t="n">
        <f aca="false">COUNTIFS($A$5:$A$716,A62,$C$5:$C$716,"&gt;"&amp;C62)+1</f>
        <v>15</v>
      </c>
      <c r="G62" s="9" t="n">
        <f aca="false">C62/SUMIFS($C$5:$C$716,$A$5:$A$716,A62)</f>
        <v>0.00944467957142539</v>
      </c>
    </row>
    <row r="63" customFormat="false" ht="15" hidden="false" customHeight="false" outlineLevel="0" collapsed="false">
      <c r="A63" s="7" t="s">
        <v>31</v>
      </c>
      <c r="B63" s="7" t="s">
        <v>142</v>
      </c>
      <c r="C63" s="13" t="n">
        <v>291</v>
      </c>
      <c r="D63" s="8"/>
      <c r="E63" s="12" t="n">
        <f aca="false">RANK(C63,$C$5:$C$716)</f>
        <v>152</v>
      </c>
      <c r="F63" s="12" t="n">
        <f aca="false">COUNTIFS($A$5:$A$716,A63,$C$5:$C$716,"&gt;"&amp;C63)+1</f>
        <v>16</v>
      </c>
      <c r="G63" s="9" t="n">
        <f aca="false">C63/SUMIFS($C$5:$C$716,$A$5:$A$716,A63)</f>
        <v>0.00648207961152073</v>
      </c>
    </row>
    <row r="64" customFormat="false" ht="15" hidden="false" customHeight="false" outlineLevel="0" collapsed="false">
      <c r="A64" s="7" t="s">
        <v>31</v>
      </c>
      <c r="B64" s="7" t="s">
        <v>143</v>
      </c>
      <c r="C64" s="13" t="n">
        <v>278</v>
      </c>
      <c r="D64" s="8"/>
      <c r="E64" s="12" t="n">
        <f aca="false">RANK(C64,$C$5:$C$716)</f>
        <v>159</v>
      </c>
      <c r="F64" s="12" t="n">
        <f aca="false">COUNTIFS($A$5:$A$716,A64,$C$5:$C$716,"&gt;"&amp;C64)+1</f>
        <v>17</v>
      </c>
      <c r="G64" s="9" t="n">
        <f aca="false">C64/SUMIFS($C$5:$C$716,$A$5:$A$716,A64)</f>
        <v>0.0061925021718308</v>
      </c>
    </row>
    <row r="65" customFormat="false" ht="15" hidden="false" customHeight="false" outlineLevel="0" collapsed="false">
      <c r="A65" s="7" t="s">
        <v>31</v>
      </c>
      <c r="B65" s="7" t="s">
        <v>144</v>
      </c>
      <c r="C65" s="13" t="n">
        <v>216</v>
      </c>
      <c r="D65" s="8"/>
      <c r="E65" s="12" t="n">
        <f aca="false">RANK(C65,$C$5:$C$716)</f>
        <v>210</v>
      </c>
      <c r="F65" s="12" t="n">
        <f aca="false">COUNTIFS($A$5:$A$716,A65,$C$5:$C$716,"&gt;"&amp;C65)+1</f>
        <v>18</v>
      </c>
      <c r="G65" s="9" t="n">
        <f aca="false">C65/SUMIFS($C$5:$C$716,$A$5:$A$716,A65)</f>
        <v>0.00481144053638652</v>
      </c>
    </row>
    <row r="66" customFormat="false" ht="15" hidden="false" customHeight="false" outlineLevel="0" collapsed="false">
      <c r="A66" s="7" t="s">
        <v>31</v>
      </c>
      <c r="B66" s="7" t="s">
        <v>145</v>
      </c>
      <c r="C66" s="13" t="n">
        <v>210</v>
      </c>
      <c r="D66" s="8"/>
      <c r="E66" s="12" t="n">
        <f aca="false">RANK(C66,$C$5:$C$716)</f>
        <v>213</v>
      </c>
      <c r="F66" s="12" t="n">
        <f aca="false">COUNTIFS($A$5:$A$716,A66,$C$5:$C$716,"&gt;"&amp;C66)+1</f>
        <v>19</v>
      </c>
      <c r="G66" s="9" t="n">
        <f aca="false">C66/SUMIFS($C$5:$C$716,$A$5:$A$716,A66)</f>
        <v>0.00467778941037578</v>
      </c>
    </row>
    <row r="67" customFormat="false" ht="15" hidden="false" customHeight="false" outlineLevel="0" collapsed="false">
      <c r="A67" s="7" t="s">
        <v>31</v>
      </c>
      <c r="B67" s="7" t="s">
        <v>146</v>
      </c>
      <c r="C67" s="13" t="n">
        <v>209</v>
      </c>
      <c r="D67" s="8"/>
      <c r="E67" s="12" t="n">
        <f aca="false">RANK(C67,$C$5:$C$716)</f>
        <v>217</v>
      </c>
      <c r="F67" s="12" t="n">
        <f aca="false">COUNTIFS($A$5:$A$716,A67,$C$5:$C$716,"&gt;"&amp;C67)+1</f>
        <v>20</v>
      </c>
      <c r="G67" s="9" t="n">
        <f aca="false">C67/SUMIFS($C$5:$C$716,$A$5:$A$716,A67)</f>
        <v>0.00465551422270733</v>
      </c>
    </row>
    <row r="68" customFormat="false" ht="15" hidden="false" customHeight="false" outlineLevel="0" collapsed="false">
      <c r="A68" s="7" t="s">
        <v>31</v>
      </c>
      <c r="B68" s="7" t="s">
        <v>147</v>
      </c>
      <c r="C68" s="13" t="n">
        <v>206</v>
      </c>
      <c r="D68" s="8"/>
      <c r="E68" s="12" t="n">
        <f aca="false">RANK(C68,$C$5:$C$716)</f>
        <v>220</v>
      </c>
      <c r="F68" s="12" t="n">
        <f aca="false">COUNTIFS($A$5:$A$716,A68,$C$5:$C$716,"&gt;"&amp;C68)+1</f>
        <v>21</v>
      </c>
      <c r="G68" s="9" t="n">
        <f aca="false">C68/SUMIFS($C$5:$C$716,$A$5:$A$716,A68)</f>
        <v>0.00458868865970196</v>
      </c>
    </row>
    <row r="69" customFormat="false" ht="15" hidden="false" customHeight="false" outlineLevel="0" collapsed="false">
      <c r="A69" s="7" t="s">
        <v>31</v>
      </c>
      <c r="B69" s="7" t="s">
        <v>148</v>
      </c>
      <c r="C69" s="13" t="n">
        <v>203</v>
      </c>
      <c r="D69" s="8"/>
      <c r="E69" s="12" t="n">
        <f aca="false">RANK(C69,$C$5:$C$716)</f>
        <v>225</v>
      </c>
      <c r="F69" s="12" t="n">
        <f aca="false">COUNTIFS($A$5:$A$716,A69,$C$5:$C$716,"&gt;"&amp;C69)+1</f>
        <v>22</v>
      </c>
      <c r="G69" s="9" t="n">
        <f aca="false">C69/SUMIFS($C$5:$C$716,$A$5:$A$716,A69)</f>
        <v>0.00452186309669659</v>
      </c>
    </row>
    <row r="70" customFormat="false" ht="15" hidden="false" customHeight="false" outlineLevel="0" collapsed="false">
      <c r="A70" s="7" t="s">
        <v>31</v>
      </c>
      <c r="B70" s="7" t="s">
        <v>149</v>
      </c>
      <c r="C70" s="13" t="n">
        <v>195</v>
      </c>
      <c r="D70" s="8"/>
      <c r="E70" s="12" t="n">
        <f aca="false">RANK(C70,$C$5:$C$716)</f>
        <v>236</v>
      </c>
      <c r="F70" s="12" t="n">
        <f aca="false">COUNTIFS($A$5:$A$716,A70,$C$5:$C$716,"&gt;"&amp;C70)+1</f>
        <v>23</v>
      </c>
      <c r="G70" s="9" t="n">
        <f aca="false">C70/SUMIFS($C$5:$C$716,$A$5:$A$716,A70)</f>
        <v>0.00434366159534894</v>
      </c>
    </row>
    <row r="71" customFormat="false" ht="15" hidden="false" customHeight="false" outlineLevel="0" collapsed="false">
      <c r="A71" s="7" t="s">
        <v>31</v>
      </c>
      <c r="B71" s="7" t="s">
        <v>150</v>
      </c>
      <c r="C71" s="13" t="n">
        <v>191</v>
      </c>
      <c r="D71" s="8"/>
      <c r="E71" s="12" t="n">
        <f aca="false">RANK(C71,$C$5:$C$716)</f>
        <v>239</v>
      </c>
      <c r="F71" s="12" t="n">
        <f aca="false">COUNTIFS($A$5:$A$716,A71,$C$5:$C$716,"&gt;"&amp;C71)+1</f>
        <v>24</v>
      </c>
      <c r="G71" s="9" t="n">
        <f aca="false">C71/SUMIFS($C$5:$C$716,$A$5:$A$716,A71)</f>
        <v>0.00425456084467512</v>
      </c>
    </row>
    <row r="72" customFormat="false" ht="15" hidden="false" customHeight="false" outlineLevel="0" collapsed="false">
      <c r="A72" s="7" t="s">
        <v>31</v>
      </c>
      <c r="B72" s="7" t="s">
        <v>151</v>
      </c>
      <c r="C72" s="13" t="n">
        <v>182</v>
      </c>
      <c r="D72" s="8"/>
      <c r="E72" s="12" t="n">
        <f aca="false">RANK(C72,$C$5:$C$716)</f>
        <v>242</v>
      </c>
      <c r="F72" s="12" t="n">
        <f aca="false">COUNTIFS($A$5:$A$716,A72,$C$5:$C$716,"&gt;"&amp;C72)+1</f>
        <v>25</v>
      </c>
      <c r="G72" s="9" t="n">
        <f aca="false">C72/SUMIFS($C$5:$C$716,$A$5:$A$716,A72)</f>
        <v>0.00405408415565901</v>
      </c>
    </row>
    <row r="73" customFormat="false" ht="15" hidden="false" customHeight="false" outlineLevel="0" collapsed="false">
      <c r="A73" s="7" t="s">
        <v>31</v>
      </c>
      <c r="B73" s="7" t="s">
        <v>152</v>
      </c>
      <c r="C73" s="13" t="n">
        <v>181</v>
      </c>
      <c r="D73" s="8"/>
      <c r="E73" s="12" t="n">
        <f aca="false">RANK(C73,$C$5:$C$716)</f>
        <v>243</v>
      </c>
      <c r="F73" s="12" t="n">
        <f aca="false">COUNTIFS($A$5:$A$716,A73,$C$5:$C$716,"&gt;"&amp;C73)+1</f>
        <v>26</v>
      </c>
      <c r="G73" s="9" t="n">
        <f aca="false">C73/SUMIFS($C$5:$C$716,$A$5:$A$716,A73)</f>
        <v>0.00403180896799056</v>
      </c>
    </row>
    <row r="74" customFormat="false" ht="15" hidden="false" customHeight="false" outlineLevel="0" collapsed="false">
      <c r="A74" s="7" t="s">
        <v>31</v>
      </c>
      <c r="B74" s="7" t="s">
        <v>153</v>
      </c>
      <c r="C74" s="13" t="n">
        <v>178</v>
      </c>
      <c r="D74" s="8"/>
      <c r="E74" s="12" t="n">
        <f aca="false">RANK(C74,$C$5:$C$716)</f>
        <v>249</v>
      </c>
      <c r="F74" s="12" t="n">
        <f aca="false">COUNTIFS($A$5:$A$716,A74,$C$5:$C$716,"&gt;"&amp;C74)+1</f>
        <v>27</v>
      </c>
      <c r="G74" s="9" t="n">
        <f aca="false">C74/SUMIFS($C$5:$C$716,$A$5:$A$716,A74)</f>
        <v>0.00396498340498519</v>
      </c>
    </row>
    <row r="75" customFormat="false" ht="15" hidden="false" customHeight="false" outlineLevel="0" collapsed="false">
      <c r="A75" s="7" t="s">
        <v>31</v>
      </c>
      <c r="B75" s="7" t="s">
        <v>154</v>
      </c>
      <c r="C75" s="13" t="n">
        <v>174</v>
      </c>
      <c r="D75" s="8"/>
      <c r="E75" s="12" t="n">
        <f aca="false">RANK(C75,$C$5:$C$716)</f>
        <v>254</v>
      </c>
      <c r="F75" s="12" t="n">
        <f aca="false">COUNTIFS($A$5:$A$716,A75,$C$5:$C$716,"&gt;"&amp;C75)+1</f>
        <v>28</v>
      </c>
      <c r="G75" s="9" t="n">
        <f aca="false">C75/SUMIFS($C$5:$C$716,$A$5:$A$716,A75)</f>
        <v>0.00387588265431136</v>
      </c>
    </row>
    <row r="76" customFormat="false" ht="15" hidden="false" customHeight="false" outlineLevel="0" collapsed="false">
      <c r="A76" s="7" t="s">
        <v>31</v>
      </c>
      <c r="B76" s="7" t="s">
        <v>155</v>
      </c>
      <c r="C76" s="13" t="n">
        <v>174</v>
      </c>
      <c r="D76" s="8"/>
      <c r="E76" s="12" t="n">
        <f aca="false">RANK(C76,$C$5:$C$716)</f>
        <v>254</v>
      </c>
      <c r="F76" s="12" t="n">
        <f aca="false">COUNTIFS($A$5:$A$716,A76,$C$5:$C$716,"&gt;"&amp;C76)+1</f>
        <v>28</v>
      </c>
      <c r="G76" s="9" t="n">
        <f aca="false">C76/SUMIFS($C$5:$C$716,$A$5:$A$716,A76)</f>
        <v>0.00387588265431136</v>
      </c>
    </row>
    <row r="77" customFormat="false" ht="15" hidden="false" customHeight="false" outlineLevel="0" collapsed="false">
      <c r="A77" s="7" t="s">
        <v>31</v>
      </c>
      <c r="B77" s="7" t="s">
        <v>156</v>
      </c>
      <c r="C77" s="13" t="n">
        <v>167</v>
      </c>
      <c r="D77" s="8"/>
      <c r="E77" s="12" t="n">
        <f aca="false">RANK(C77,$C$5:$C$716)</f>
        <v>266</v>
      </c>
      <c r="F77" s="12" t="n">
        <f aca="false">COUNTIFS($A$5:$A$716,A77,$C$5:$C$716,"&gt;"&amp;C77)+1</f>
        <v>30</v>
      </c>
      <c r="G77" s="9" t="n">
        <f aca="false">C77/SUMIFS($C$5:$C$716,$A$5:$A$716,A77)</f>
        <v>0.00371995634063217</v>
      </c>
    </row>
    <row r="78" customFormat="false" ht="15" hidden="false" customHeight="false" outlineLevel="0" collapsed="false">
      <c r="A78" s="7" t="s">
        <v>31</v>
      </c>
      <c r="B78" s="7" t="s">
        <v>157</v>
      </c>
      <c r="C78" s="13" t="n">
        <v>166</v>
      </c>
      <c r="D78" s="8"/>
      <c r="E78" s="12" t="n">
        <f aca="false">RANK(C78,$C$5:$C$716)</f>
        <v>267</v>
      </c>
      <c r="F78" s="12" t="n">
        <f aca="false">COUNTIFS($A$5:$A$716,A78,$C$5:$C$716,"&gt;"&amp;C78)+1</f>
        <v>31</v>
      </c>
      <c r="G78" s="9" t="n">
        <f aca="false">C78/SUMIFS($C$5:$C$716,$A$5:$A$716,A78)</f>
        <v>0.00369768115296371</v>
      </c>
    </row>
    <row r="79" customFormat="false" ht="15" hidden="false" customHeight="false" outlineLevel="0" collapsed="false">
      <c r="A79" s="7" t="s">
        <v>31</v>
      </c>
      <c r="B79" s="7" t="s">
        <v>158</v>
      </c>
      <c r="C79" s="13" t="n">
        <v>161</v>
      </c>
      <c r="D79" s="8"/>
      <c r="E79" s="12" t="n">
        <f aca="false">RANK(C79,$C$5:$C$716)</f>
        <v>270</v>
      </c>
      <c r="F79" s="12" t="n">
        <f aca="false">COUNTIFS($A$5:$A$716,A79,$C$5:$C$716,"&gt;"&amp;C79)+1</f>
        <v>32</v>
      </c>
      <c r="G79" s="9" t="n">
        <f aca="false">C79/SUMIFS($C$5:$C$716,$A$5:$A$716,A79)</f>
        <v>0.00358630521462143</v>
      </c>
    </row>
    <row r="80" customFormat="false" ht="15" hidden="false" customHeight="false" outlineLevel="0" collapsed="false">
      <c r="A80" s="7" t="s">
        <v>31</v>
      </c>
      <c r="B80" s="7" t="s">
        <v>159</v>
      </c>
      <c r="C80" s="13" t="n">
        <v>151</v>
      </c>
      <c r="D80" s="8"/>
      <c r="E80" s="12" t="n">
        <f aca="false">RANK(C80,$C$5:$C$716)</f>
        <v>288</v>
      </c>
      <c r="F80" s="12" t="n">
        <f aca="false">COUNTIFS($A$5:$A$716,A80,$C$5:$C$716,"&gt;"&amp;C80)+1</f>
        <v>33</v>
      </c>
      <c r="G80" s="9" t="n">
        <f aca="false">C80/SUMIFS($C$5:$C$716,$A$5:$A$716,A80)</f>
        <v>0.00336355333793687</v>
      </c>
    </row>
    <row r="81" customFormat="false" ht="15" hidden="false" customHeight="false" outlineLevel="0" collapsed="false">
      <c r="A81" s="7" t="s">
        <v>31</v>
      </c>
      <c r="B81" s="7" t="s">
        <v>160</v>
      </c>
      <c r="C81" s="13" t="n">
        <v>150</v>
      </c>
      <c r="D81" s="8"/>
      <c r="E81" s="12" t="n">
        <f aca="false">RANK(C81,$C$5:$C$716)</f>
        <v>289</v>
      </c>
      <c r="F81" s="12" t="n">
        <f aca="false">COUNTIFS($A$5:$A$716,A81,$C$5:$C$716,"&gt;"&amp;C81)+1</f>
        <v>34</v>
      </c>
      <c r="G81" s="9" t="n">
        <f aca="false">C81/SUMIFS($C$5:$C$716,$A$5:$A$716,A81)</f>
        <v>0.00334127815026842</v>
      </c>
    </row>
    <row r="82" customFormat="false" ht="15" hidden="false" customHeight="false" outlineLevel="0" collapsed="false">
      <c r="A82" s="7" t="s">
        <v>31</v>
      </c>
      <c r="B82" s="7" t="s">
        <v>161</v>
      </c>
      <c r="C82" s="13" t="n">
        <v>146</v>
      </c>
      <c r="D82" s="8"/>
      <c r="E82" s="12" t="n">
        <f aca="false">RANK(C82,$C$5:$C$716)</f>
        <v>297</v>
      </c>
      <c r="F82" s="12" t="n">
        <f aca="false">COUNTIFS($A$5:$A$716,A82,$C$5:$C$716,"&gt;"&amp;C82)+1</f>
        <v>35</v>
      </c>
      <c r="G82" s="9" t="n">
        <f aca="false">C82/SUMIFS($C$5:$C$716,$A$5:$A$716,A82)</f>
        <v>0.00325217739959459</v>
      </c>
    </row>
    <row r="83" customFormat="false" ht="15" hidden="false" customHeight="false" outlineLevel="0" collapsed="false">
      <c r="A83" s="7" t="s">
        <v>31</v>
      </c>
      <c r="B83" s="7" t="s">
        <v>162</v>
      </c>
      <c r="C83" s="13" t="n">
        <v>145</v>
      </c>
      <c r="D83" s="8"/>
      <c r="E83" s="12" t="n">
        <f aca="false">RANK(C83,$C$5:$C$716)</f>
        <v>299</v>
      </c>
      <c r="F83" s="12" t="n">
        <f aca="false">COUNTIFS($A$5:$A$716,A83,$C$5:$C$716,"&gt;"&amp;C83)+1</f>
        <v>36</v>
      </c>
      <c r="G83" s="9" t="n">
        <f aca="false">C83/SUMIFS($C$5:$C$716,$A$5:$A$716,A83)</f>
        <v>0.00322990221192614</v>
      </c>
    </row>
    <row r="84" customFormat="false" ht="15" hidden="false" customHeight="false" outlineLevel="0" collapsed="false">
      <c r="A84" s="7" t="s">
        <v>31</v>
      </c>
      <c r="B84" s="7" t="s">
        <v>163</v>
      </c>
      <c r="C84" s="13" t="n">
        <v>138</v>
      </c>
      <c r="D84" s="8"/>
      <c r="E84" s="12" t="n">
        <f aca="false">RANK(C84,$C$5:$C$716)</f>
        <v>308</v>
      </c>
      <c r="F84" s="12" t="n">
        <f aca="false">COUNTIFS($A$5:$A$716,A84,$C$5:$C$716,"&gt;"&amp;C84)+1</f>
        <v>37</v>
      </c>
      <c r="G84" s="9" t="n">
        <f aca="false">C84/SUMIFS($C$5:$C$716,$A$5:$A$716,A84)</f>
        <v>0.00307397589824694</v>
      </c>
    </row>
    <row r="85" customFormat="false" ht="15" hidden="false" customHeight="false" outlineLevel="0" collapsed="false">
      <c r="A85" s="7" t="s">
        <v>31</v>
      </c>
      <c r="B85" s="7" t="s">
        <v>164</v>
      </c>
      <c r="C85" s="13" t="n">
        <v>129</v>
      </c>
      <c r="D85" s="8"/>
      <c r="E85" s="12" t="n">
        <f aca="false">RANK(C85,$C$5:$C$716)</f>
        <v>326</v>
      </c>
      <c r="F85" s="12" t="n">
        <f aca="false">COUNTIFS($A$5:$A$716,A85,$C$5:$C$716,"&gt;"&amp;C85)+1</f>
        <v>38</v>
      </c>
      <c r="G85" s="9" t="n">
        <f aca="false">C85/SUMIFS($C$5:$C$716,$A$5:$A$716,A85)</f>
        <v>0.00287349920923084</v>
      </c>
    </row>
    <row r="86" customFormat="false" ht="15" hidden="false" customHeight="false" outlineLevel="0" collapsed="false">
      <c r="A86" s="7" t="s">
        <v>31</v>
      </c>
      <c r="B86" s="7" t="s">
        <v>165</v>
      </c>
      <c r="C86" s="13" t="n">
        <v>129</v>
      </c>
      <c r="D86" s="8"/>
      <c r="E86" s="12" t="n">
        <f aca="false">RANK(C86,$C$5:$C$716)</f>
        <v>326</v>
      </c>
      <c r="F86" s="12" t="n">
        <f aca="false">COUNTIFS($A$5:$A$716,A86,$C$5:$C$716,"&gt;"&amp;C86)+1</f>
        <v>38</v>
      </c>
      <c r="G86" s="9" t="n">
        <f aca="false">C86/SUMIFS($C$5:$C$716,$A$5:$A$716,A86)</f>
        <v>0.00287349920923084</v>
      </c>
    </row>
    <row r="87" customFormat="false" ht="15" hidden="false" customHeight="false" outlineLevel="0" collapsed="false">
      <c r="A87" s="7" t="s">
        <v>31</v>
      </c>
      <c r="B87" s="7" t="s">
        <v>166</v>
      </c>
      <c r="C87" s="13" t="n">
        <v>128</v>
      </c>
      <c r="D87" s="8"/>
      <c r="E87" s="12" t="n">
        <f aca="false">RANK(C87,$C$5:$C$716)</f>
        <v>329</v>
      </c>
      <c r="F87" s="12" t="n">
        <f aca="false">COUNTIFS($A$5:$A$716,A87,$C$5:$C$716,"&gt;"&amp;C87)+1</f>
        <v>40</v>
      </c>
      <c r="G87" s="9" t="n">
        <f aca="false">C87/SUMIFS($C$5:$C$716,$A$5:$A$716,A87)</f>
        <v>0.00285122402156238</v>
      </c>
    </row>
    <row r="88" customFormat="false" ht="15" hidden="false" customHeight="false" outlineLevel="0" collapsed="false">
      <c r="A88" s="7" t="s">
        <v>31</v>
      </c>
      <c r="B88" s="7" t="s">
        <v>167</v>
      </c>
      <c r="C88" s="13" t="n">
        <v>122</v>
      </c>
      <c r="D88" s="8"/>
      <c r="E88" s="12" t="n">
        <f aca="false">RANK(C88,$C$5:$C$716)</f>
        <v>342</v>
      </c>
      <c r="F88" s="12" t="n">
        <f aca="false">COUNTIFS($A$5:$A$716,A88,$C$5:$C$716,"&gt;"&amp;C88)+1</f>
        <v>41</v>
      </c>
      <c r="G88" s="9" t="n">
        <f aca="false">C88/SUMIFS($C$5:$C$716,$A$5:$A$716,A88)</f>
        <v>0.00271757289555165</v>
      </c>
    </row>
    <row r="89" customFormat="false" ht="15" hidden="false" customHeight="false" outlineLevel="0" collapsed="false">
      <c r="A89" s="7" t="s">
        <v>31</v>
      </c>
      <c r="B89" s="7" t="s">
        <v>168</v>
      </c>
      <c r="C89" s="13" t="n">
        <v>119</v>
      </c>
      <c r="D89" s="8"/>
      <c r="E89" s="12" t="n">
        <f aca="false">RANK(C89,$C$5:$C$716)</f>
        <v>349</v>
      </c>
      <c r="F89" s="12" t="n">
        <f aca="false">COUNTIFS($A$5:$A$716,A89,$C$5:$C$716,"&gt;"&amp;C89)+1</f>
        <v>42</v>
      </c>
      <c r="G89" s="9" t="n">
        <f aca="false">C89/SUMIFS($C$5:$C$716,$A$5:$A$716,A89)</f>
        <v>0.00265074733254628</v>
      </c>
    </row>
    <row r="90" customFormat="false" ht="15" hidden="false" customHeight="false" outlineLevel="0" collapsed="false">
      <c r="A90" s="7" t="s">
        <v>31</v>
      </c>
      <c r="B90" s="7" t="s">
        <v>169</v>
      </c>
      <c r="C90" s="13" t="n">
        <v>118</v>
      </c>
      <c r="D90" s="8"/>
      <c r="E90" s="12" t="n">
        <f aca="false">RANK(C90,$C$5:$C$716)</f>
        <v>352</v>
      </c>
      <c r="F90" s="12" t="n">
        <f aca="false">COUNTIFS($A$5:$A$716,A90,$C$5:$C$716,"&gt;"&amp;C90)+1</f>
        <v>43</v>
      </c>
      <c r="G90" s="9" t="n">
        <f aca="false">C90/SUMIFS($C$5:$C$716,$A$5:$A$716,A90)</f>
        <v>0.00262847214487782</v>
      </c>
    </row>
    <row r="91" customFormat="false" ht="15" hidden="false" customHeight="false" outlineLevel="0" collapsed="false">
      <c r="A91" s="7" t="s">
        <v>31</v>
      </c>
      <c r="B91" s="7" t="s">
        <v>170</v>
      </c>
      <c r="C91" s="13" t="n">
        <v>113</v>
      </c>
      <c r="D91" s="8"/>
      <c r="E91" s="12" t="n">
        <f aca="false">RANK(C91,$C$5:$C$716)</f>
        <v>365</v>
      </c>
      <c r="F91" s="12" t="n">
        <f aca="false">COUNTIFS($A$5:$A$716,A91,$C$5:$C$716,"&gt;"&amp;C91)+1</f>
        <v>44</v>
      </c>
      <c r="G91" s="9" t="n">
        <f aca="false">C91/SUMIFS($C$5:$C$716,$A$5:$A$716,A91)</f>
        <v>0.00251709620653554</v>
      </c>
    </row>
    <row r="92" customFormat="false" ht="15" hidden="false" customHeight="false" outlineLevel="0" collapsed="false">
      <c r="A92" s="7" t="s">
        <v>31</v>
      </c>
      <c r="B92" s="7" t="s">
        <v>171</v>
      </c>
      <c r="C92" s="13" t="n">
        <v>111</v>
      </c>
      <c r="D92" s="8"/>
      <c r="E92" s="12" t="n">
        <f aca="false">RANK(C92,$C$5:$C$716)</f>
        <v>368</v>
      </c>
      <c r="F92" s="12" t="n">
        <f aca="false">COUNTIFS($A$5:$A$716,A92,$C$5:$C$716,"&gt;"&amp;C92)+1</f>
        <v>45</v>
      </c>
      <c r="G92" s="9" t="n">
        <f aca="false">C92/SUMIFS($C$5:$C$716,$A$5:$A$716,A92)</f>
        <v>0.00247254583119863</v>
      </c>
    </row>
    <row r="93" customFormat="false" ht="15" hidden="false" customHeight="false" outlineLevel="0" collapsed="false">
      <c r="A93" s="7" t="s">
        <v>31</v>
      </c>
      <c r="B93" s="7" t="s">
        <v>172</v>
      </c>
      <c r="C93" s="13" t="n">
        <v>109</v>
      </c>
      <c r="D93" s="8"/>
      <c r="E93" s="12" t="n">
        <f aca="false">RANK(C93,$C$5:$C$716)</f>
        <v>374</v>
      </c>
      <c r="F93" s="12" t="n">
        <f aca="false">COUNTIFS($A$5:$A$716,A93,$C$5:$C$716,"&gt;"&amp;C93)+1</f>
        <v>46</v>
      </c>
      <c r="G93" s="9" t="n">
        <f aca="false">C93/SUMIFS($C$5:$C$716,$A$5:$A$716,A93)</f>
        <v>0.00242799545586172</v>
      </c>
    </row>
    <row r="94" customFormat="false" ht="15" hidden="false" customHeight="false" outlineLevel="0" collapsed="false">
      <c r="A94" s="7" t="s">
        <v>31</v>
      </c>
      <c r="B94" s="7" t="s">
        <v>173</v>
      </c>
      <c r="C94" s="13" t="n">
        <v>109</v>
      </c>
      <c r="D94" s="8"/>
      <c r="E94" s="12" t="n">
        <f aca="false">RANK(C94,$C$5:$C$716)</f>
        <v>374</v>
      </c>
      <c r="F94" s="12" t="n">
        <f aca="false">COUNTIFS($A$5:$A$716,A94,$C$5:$C$716,"&gt;"&amp;C94)+1</f>
        <v>46</v>
      </c>
      <c r="G94" s="9" t="n">
        <f aca="false">C94/SUMIFS($C$5:$C$716,$A$5:$A$716,A94)</f>
        <v>0.00242799545586172</v>
      </c>
    </row>
    <row r="95" customFormat="false" ht="15" hidden="false" customHeight="false" outlineLevel="0" collapsed="false">
      <c r="A95" s="7" t="s">
        <v>31</v>
      </c>
      <c r="B95" s="7" t="s">
        <v>174</v>
      </c>
      <c r="C95" s="13" t="n">
        <v>106</v>
      </c>
      <c r="D95" s="8"/>
      <c r="E95" s="12" t="n">
        <f aca="false">RANK(C95,$C$5:$C$716)</f>
        <v>380</v>
      </c>
      <c r="F95" s="12" t="n">
        <f aca="false">COUNTIFS($A$5:$A$716,A95,$C$5:$C$716,"&gt;"&amp;C95)+1</f>
        <v>48</v>
      </c>
      <c r="G95" s="9" t="n">
        <f aca="false">C95/SUMIFS($C$5:$C$716,$A$5:$A$716,A95)</f>
        <v>0.00236116989285635</v>
      </c>
    </row>
    <row r="96" customFormat="false" ht="15" hidden="false" customHeight="false" outlineLevel="0" collapsed="false">
      <c r="A96" s="7" t="s">
        <v>31</v>
      </c>
      <c r="B96" s="7" t="s">
        <v>175</v>
      </c>
      <c r="C96" s="13" t="n">
        <v>99</v>
      </c>
      <c r="D96" s="8"/>
      <c r="E96" s="12" t="n">
        <f aca="false">RANK(C96,$C$5:$C$716)</f>
        <v>398</v>
      </c>
      <c r="F96" s="12" t="n">
        <f aca="false">COUNTIFS($A$5:$A$716,A96,$C$5:$C$716,"&gt;"&amp;C96)+1</f>
        <v>49</v>
      </c>
      <c r="G96" s="9" t="n">
        <f aca="false">C96/SUMIFS($C$5:$C$716,$A$5:$A$716,A96)</f>
        <v>0.00220524357917715</v>
      </c>
    </row>
    <row r="97" customFormat="false" ht="15" hidden="false" customHeight="false" outlineLevel="0" collapsed="false">
      <c r="A97" s="7" t="s">
        <v>31</v>
      </c>
      <c r="B97" s="7" t="s">
        <v>176</v>
      </c>
      <c r="C97" s="13" t="n">
        <v>99</v>
      </c>
      <c r="D97" s="8"/>
      <c r="E97" s="12" t="n">
        <f aca="false">RANK(C97,$C$5:$C$716)</f>
        <v>398</v>
      </c>
      <c r="F97" s="12" t="n">
        <f aca="false">COUNTIFS($A$5:$A$716,A97,$C$5:$C$716,"&gt;"&amp;C97)+1</f>
        <v>49</v>
      </c>
      <c r="G97" s="9" t="n">
        <f aca="false">C97/SUMIFS($C$5:$C$716,$A$5:$A$716,A97)</f>
        <v>0.00220524357917715</v>
      </c>
    </row>
    <row r="98" customFormat="false" ht="15" hidden="false" customHeight="false" outlineLevel="0" collapsed="false">
      <c r="A98" s="7" t="s">
        <v>31</v>
      </c>
      <c r="B98" s="7" t="s">
        <v>177</v>
      </c>
      <c r="C98" s="13" t="n">
        <v>94</v>
      </c>
      <c r="D98" s="8"/>
      <c r="E98" s="12" t="n">
        <f aca="false">RANK(C98,$C$5:$C$716)</f>
        <v>410</v>
      </c>
      <c r="F98" s="12" t="n">
        <f aca="false">COUNTIFS($A$5:$A$716,A98,$C$5:$C$716,"&gt;"&amp;C98)+1</f>
        <v>51</v>
      </c>
      <c r="G98" s="9" t="n">
        <f aca="false">C98/SUMIFS($C$5:$C$716,$A$5:$A$716,A98)</f>
        <v>0.00209386764083487</v>
      </c>
    </row>
    <row r="99" customFormat="false" ht="15" hidden="false" customHeight="false" outlineLevel="0" collapsed="false">
      <c r="A99" s="7" t="s">
        <v>31</v>
      </c>
      <c r="B99" s="7" t="s">
        <v>178</v>
      </c>
      <c r="C99" s="13" t="n">
        <v>88</v>
      </c>
      <c r="D99" s="8"/>
      <c r="E99" s="12" t="n">
        <f aca="false">RANK(C99,$C$5:$C$716)</f>
        <v>422</v>
      </c>
      <c r="F99" s="12" t="n">
        <f aca="false">COUNTIFS($A$5:$A$716,A99,$C$5:$C$716,"&gt;"&amp;C99)+1</f>
        <v>52</v>
      </c>
      <c r="G99" s="9" t="n">
        <f aca="false">C99/SUMIFS($C$5:$C$716,$A$5:$A$716,A99)</f>
        <v>0.00196021651482414</v>
      </c>
    </row>
    <row r="100" customFormat="false" ht="15" hidden="false" customHeight="false" outlineLevel="0" collapsed="false">
      <c r="A100" s="7" t="s">
        <v>31</v>
      </c>
      <c r="B100" s="7" t="s">
        <v>179</v>
      </c>
      <c r="C100" s="13" t="n">
        <v>87</v>
      </c>
      <c r="D100" s="8"/>
      <c r="E100" s="12" t="n">
        <f aca="false">RANK(C100,$C$5:$C$716)</f>
        <v>426</v>
      </c>
      <c r="F100" s="12" t="n">
        <f aca="false">COUNTIFS($A$5:$A$716,A100,$C$5:$C$716,"&gt;"&amp;C100)+1</f>
        <v>53</v>
      </c>
      <c r="G100" s="9" t="n">
        <f aca="false">C100/SUMIFS($C$5:$C$716,$A$5:$A$716,A100)</f>
        <v>0.00193794132715568</v>
      </c>
    </row>
    <row r="101" customFormat="false" ht="15" hidden="false" customHeight="false" outlineLevel="0" collapsed="false">
      <c r="A101" s="7" t="s">
        <v>31</v>
      </c>
      <c r="B101" s="7" t="s">
        <v>180</v>
      </c>
      <c r="C101" s="13" t="n">
        <v>86</v>
      </c>
      <c r="D101" s="8"/>
      <c r="E101" s="12" t="n">
        <f aca="false">RANK(C101,$C$5:$C$716)</f>
        <v>428</v>
      </c>
      <c r="F101" s="12" t="n">
        <f aca="false">COUNTIFS($A$5:$A$716,A101,$C$5:$C$716,"&gt;"&amp;C101)+1</f>
        <v>54</v>
      </c>
      <c r="G101" s="9" t="n">
        <f aca="false">C101/SUMIFS($C$5:$C$716,$A$5:$A$716,A101)</f>
        <v>0.00191566613948723</v>
      </c>
    </row>
    <row r="102" customFormat="false" ht="15" hidden="false" customHeight="false" outlineLevel="0" collapsed="false">
      <c r="A102" s="7" t="s">
        <v>31</v>
      </c>
      <c r="B102" s="7" t="s">
        <v>181</v>
      </c>
      <c r="C102" s="13" t="n">
        <v>84</v>
      </c>
      <c r="D102" s="8"/>
      <c r="E102" s="12" t="n">
        <f aca="false">RANK(C102,$C$5:$C$716)</f>
        <v>432</v>
      </c>
      <c r="F102" s="12" t="n">
        <f aca="false">COUNTIFS($A$5:$A$716,A102,$C$5:$C$716,"&gt;"&amp;C102)+1</f>
        <v>55</v>
      </c>
      <c r="G102" s="9" t="n">
        <f aca="false">C102/SUMIFS($C$5:$C$716,$A$5:$A$716,A102)</f>
        <v>0.00187111576415031</v>
      </c>
    </row>
    <row r="103" customFormat="false" ht="15" hidden="false" customHeight="false" outlineLevel="0" collapsed="false">
      <c r="A103" s="7" t="s">
        <v>31</v>
      </c>
      <c r="B103" s="7" t="s">
        <v>182</v>
      </c>
      <c r="C103" s="13" t="n">
        <v>84</v>
      </c>
      <c r="D103" s="8"/>
      <c r="E103" s="12" t="n">
        <f aca="false">RANK(C103,$C$5:$C$716)</f>
        <v>432</v>
      </c>
      <c r="F103" s="12" t="n">
        <f aca="false">COUNTIFS($A$5:$A$716,A103,$C$5:$C$716,"&gt;"&amp;C103)+1</f>
        <v>55</v>
      </c>
      <c r="G103" s="9" t="n">
        <f aca="false">C103/SUMIFS($C$5:$C$716,$A$5:$A$716,A103)</f>
        <v>0.00187111576415031</v>
      </c>
    </row>
    <row r="104" customFormat="false" ht="15" hidden="false" customHeight="false" outlineLevel="0" collapsed="false">
      <c r="A104" s="7" t="s">
        <v>31</v>
      </c>
      <c r="B104" s="7" t="s">
        <v>183</v>
      </c>
      <c r="C104" s="13" t="n">
        <v>84</v>
      </c>
      <c r="D104" s="8"/>
      <c r="E104" s="12" t="n">
        <f aca="false">RANK(C104,$C$5:$C$716)</f>
        <v>432</v>
      </c>
      <c r="F104" s="12" t="n">
        <f aca="false">COUNTIFS($A$5:$A$716,A104,$C$5:$C$716,"&gt;"&amp;C104)+1</f>
        <v>55</v>
      </c>
      <c r="G104" s="9" t="n">
        <f aca="false">C104/SUMIFS($C$5:$C$716,$A$5:$A$716,A104)</f>
        <v>0.00187111576415031</v>
      </c>
    </row>
    <row r="105" customFormat="false" ht="15" hidden="false" customHeight="false" outlineLevel="0" collapsed="false">
      <c r="A105" s="7" t="s">
        <v>31</v>
      </c>
      <c r="B105" s="7" t="s">
        <v>184</v>
      </c>
      <c r="C105" s="13" t="n">
        <v>83</v>
      </c>
      <c r="D105" s="8"/>
      <c r="E105" s="12" t="n">
        <f aca="false">RANK(C105,$C$5:$C$716)</f>
        <v>442</v>
      </c>
      <c r="F105" s="12" t="n">
        <f aca="false">COUNTIFS($A$5:$A$716,A105,$C$5:$C$716,"&gt;"&amp;C105)+1</f>
        <v>58</v>
      </c>
      <c r="G105" s="9" t="n">
        <f aca="false">C105/SUMIFS($C$5:$C$716,$A$5:$A$716,A105)</f>
        <v>0.00184884057648186</v>
      </c>
    </row>
    <row r="106" customFormat="false" ht="15" hidden="false" customHeight="false" outlineLevel="0" collapsed="false">
      <c r="A106" s="7" t="s">
        <v>31</v>
      </c>
      <c r="B106" s="7" t="s">
        <v>185</v>
      </c>
      <c r="C106" s="13" t="n">
        <v>78</v>
      </c>
      <c r="D106" s="8"/>
      <c r="E106" s="12" t="n">
        <f aca="false">RANK(C106,$C$5:$C$716)</f>
        <v>459</v>
      </c>
      <c r="F106" s="12" t="n">
        <f aca="false">COUNTIFS($A$5:$A$716,A106,$C$5:$C$716,"&gt;"&amp;C106)+1</f>
        <v>59</v>
      </c>
      <c r="G106" s="9" t="n">
        <f aca="false">C106/SUMIFS($C$5:$C$716,$A$5:$A$716,A106)</f>
        <v>0.00173746463813958</v>
      </c>
    </row>
    <row r="107" customFormat="false" ht="15" hidden="false" customHeight="false" outlineLevel="0" collapsed="false">
      <c r="A107" s="7" t="s">
        <v>31</v>
      </c>
      <c r="B107" s="7" t="s">
        <v>186</v>
      </c>
      <c r="C107" s="13" t="n">
        <v>78</v>
      </c>
      <c r="D107" s="8"/>
      <c r="E107" s="12" t="n">
        <f aca="false">RANK(C107,$C$5:$C$716)</f>
        <v>459</v>
      </c>
      <c r="F107" s="12" t="n">
        <f aca="false">COUNTIFS($A$5:$A$716,A107,$C$5:$C$716,"&gt;"&amp;C107)+1</f>
        <v>59</v>
      </c>
      <c r="G107" s="9" t="n">
        <f aca="false">C107/SUMIFS($C$5:$C$716,$A$5:$A$716,A107)</f>
        <v>0.00173746463813958</v>
      </c>
    </row>
    <row r="108" customFormat="false" ht="15" hidden="false" customHeight="false" outlineLevel="0" collapsed="false">
      <c r="A108" s="7" t="s">
        <v>31</v>
      </c>
      <c r="B108" s="7" t="s">
        <v>187</v>
      </c>
      <c r="C108" s="13" t="n">
        <v>74</v>
      </c>
      <c r="D108" s="8"/>
      <c r="E108" s="12" t="n">
        <f aca="false">RANK(C108,$C$5:$C$716)</f>
        <v>472</v>
      </c>
      <c r="F108" s="12" t="n">
        <f aca="false">COUNTIFS($A$5:$A$716,A108,$C$5:$C$716,"&gt;"&amp;C108)+1</f>
        <v>61</v>
      </c>
      <c r="G108" s="9" t="n">
        <f aca="false">C108/SUMIFS($C$5:$C$716,$A$5:$A$716,A108)</f>
        <v>0.00164836388746575</v>
      </c>
    </row>
    <row r="109" customFormat="false" ht="15" hidden="false" customHeight="false" outlineLevel="0" collapsed="false">
      <c r="A109" s="7" t="s">
        <v>31</v>
      </c>
      <c r="B109" s="7" t="s">
        <v>188</v>
      </c>
      <c r="C109" s="13" t="n">
        <v>73</v>
      </c>
      <c r="D109" s="8"/>
      <c r="E109" s="12" t="n">
        <f aca="false">RANK(C109,$C$5:$C$716)</f>
        <v>475</v>
      </c>
      <c r="F109" s="12" t="n">
        <f aca="false">COUNTIFS($A$5:$A$716,A109,$C$5:$C$716,"&gt;"&amp;C109)+1</f>
        <v>62</v>
      </c>
      <c r="G109" s="9" t="n">
        <f aca="false">C109/SUMIFS($C$5:$C$716,$A$5:$A$716,A109)</f>
        <v>0.0016260886997973</v>
      </c>
    </row>
    <row r="110" customFormat="false" ht="15" hidden="false" customHeight="false" outlineLevel="0" collapsed="false">
      <c r="A110" s="7" t="s">
        <v>31</v>
      </c>
      <c r="B110" s="7" t="s">
        <v>189</v>
      </c>
      <c r="C110" s="13" t="n">
        <v>72</v>
      </c>
      <c r="D110" s="8"/>
      <c r="E110" s="12" t="n">
        <f aca="false">RANK(C110,$C$5:$C$716)</f>
        <v>480</v>
      </c>
      <c r="F110" s="12" t="n">
        <f aca="false">COUNTIFS($A$5:$A$716,A110,$C$5:$C$716,"&gt;"&amp;C110)+1</f>
        <v>63</v>
      </c>
      <c r="G110" s="9" t="n">
        <f aca="false">C110/SUMIFS($C$5:$C$716,$A$5:$A$716,A110)</f>
        <v>0.00160381351212884</v>
      </c>
    </row>
    <row r="111" customFormat="false" ht="15" hidden="false" customHeight="false" outlineLevel="0" collapsed="false">
      <c r="A111" s="7" t="s">
        <v>31</v>
      </c>
      <c r="B111" s="7" t="s">
        <v>190</v>
      </c>
      <c r="C111" s="13" t="n">
        <v>71</v>
      </c>
      <c r="D111" s="8"/>
      <c r="E111" s="12" t="n">
        <f aca="false">RANK(C111,$C$5:$C$716)</f>
        <v>484</v>
      </c>
      <c r="F111" s="12" t="n">
        <f aca="false">COUNTIFS($A$5:$A$716,A111,$C$5:$C$716,"&gt;"&amp;C111)+1</f>
        <v>64</v>
      </c>
      <c r="G111" s="9" t="n">
        <f aca="false">C111/SUMIFS($C$5:$C$716,$A$5:$A$716,A111)</f>
        <v>0.00158153832446038</v>
      </c>
    </row>
    <row r="112" customFormat="false" ht="15" hidden="false" customHeight="false" outlineLevel="0" collapsed="false">
      <c r="A112" s="7" t="s">
        <v>31</v>
      </c>
      <c r="B112" s="7" t="s">
        <v>191</v>
      </c>
      <c r="C112" s="13" t="n">
        <v>66</v>
      </c>
      <c r="D112" s="8"/>
      <c r="E112" s="12" t="n">
        <f aca="false">RANK(C112,$C$5:$C$716)</f>
        <v>500</v>
      </c>
      <c r="F112" s="12" t="n">
        <f aca="false">COUNTIFS($A$5:$A$716,A112,$C$5:$C$716,"&gt;"&amp;C112)+1</f>
        <v>65</v>
      </c>
      <c r="G112" s="9" t="n">
        <f aca="false">C112/SUMIFS($C$5:$C$716,$A$5:$A$716,A112)</f>
        <v>0.0014701623861181</v>
      </c>
    </row>
    <row r="113" customFormat="false" ht="15" hidden="false" customHeight="false" outlineLevel="0" collapsed="false">
      <c r="A113" s="7" t="s">
        <v>31</v>
      </c>
      <c r="B113" s="7" t="s">
        <v>192</v>
      </c>
      <c r="C113" s="13" t="n">
        <v>65</v>
      </c>
      <c r="D113" s="8"/>
      <c r="E113" s="12" t="n">
        <f aca="false">RANK(C113,$C$5:$C$716)</f>
        <v>505</v>
      </c>
      <c r="F113" s="12" t="n">
        <f aca="false">COUNTIFS($A$5:$A$716,A113,$C$5:$C$716,"&gt;"&amp;C113)+1</f>
        <v>66</v>
      </c>
      <c r="G113" s="9" t="n">
        <f aca="false">C113/SUMIFS($C$5:$C$716,$A$5:$A$716,A113)</f>
        <v>0.00144788719844965</v>
      </c>
    </row>
    <row r="114" customFormat="false" ht="15" hidden="false" customHeight="false" outlineLevel="0" collapsed="false">
      <c r="A114" s="7" t="s">
        <v>31</v>
      </c>
      <c r="B114" s="7" t="s">
        <v>193</v>
      </c>
      <c r="C114" s="13" t="n">
        <v>57</v>
      </c>
      <c r="D114" s="8"/>
      <c r="E114" s="12" t="n">
        <f aca="false">RANK(C114,$C$5:$C$716)</f>
        <v>532</v>
      </c>
      <c r="F114" s="12" t="n">
        <f aca="false">COUNTIFS($A$5:$A$716,A114,$C$5:$C$716,"&gt;"&amp;C114)+1</f>
        <v>67</v>
      </c>
      <c r="G114" s="9" t="n">
        <f aca="false">C114/SUMIFS($C$5:$C$716,$A$5:$A$716,A114)</f>
        <v>0.001269685697102</v>
      </c>
    </row>
    <row r="115" customFormat="false" ht="15" hidden="false" customHeight="false" outlineLevel="0" collapsed="false">
      <c r="A115" s="7" t="s">
        <v>31</v>
      </c>
      <c r="B115" s="7" t="s">
        <v>194</v>
      </c>
      <c r="C115" s="13" t="n">
        <v>56</v>
      </c>
      <c r="D115" s="8"/>
      <c r="E115" s="12" t="n">
        <f aca="false">RANK(C115,$C$5:$C$716)</f>
        <v>538</v>
      </c>
      <c r="F115" s="12" t="n">
        <f aca="false">COUNTIFS($A$5:$A$716,A115,$C$5:$C$716,"&gt;"&amp;C115)+1</f>
        <v>68</v>
      </c>
      <c r="G115" s="9" t="n">
        <f aca="false">C115/SUMIFS($C$5:$C$716,$A$5:$A$716,A115)</f>
        <v>0.00124741050943354</v>
      </c>
    </row>
    <row r="116" customFormat="false" ht="15" hidden="false" customHeight="false" outlineLevel="0" collapsed="false">
      <c r="A116" s="7" t="s">
        <v>31</v>
      </c>
      <c r="B116" s="7" t="s">
        <v>195</v>
      </c>
      <c r="C116" s="13" t="n">
        <v>56</v>
      </c>
      <c r="D116" s="8"/>
      <c r="E116" s="12" t="n">
        <f aca="false">RANK(C116,$C$5:$C$716)</f>
        <v>538</v>
      </c>
      <c r="F116" s="12" t="n">
        <f aca="false">COUNTIFS($A$5:$A$716,A116,$C$5:$C$716,"&gt;"&amp;C116)+1</f>
        <v>68</v>
      </c>
      <c r="G116" s="9" t="n">
        <f aca="false">C116/SUMIFS($C$5:$C$716,$A$5:$A$716,A116)</f>
        <v>0.00124741050943354</v>
      </c>
    </row>
    <row r="117" customFormat="false" ht="15" hidden="false" customHeight="false" outlineLevel="0" collapsed="false">
      <c r="A117" s="7" t="s">
        <v>31</v>
      </c>
      <c r="B117" s="7" t="s">
        <v>196</v>
      </c>
      <c r="C117" s="13" t="n">
        <v>51</v>
      </c>
      <c r="D117" s="8"/>
      <c r="E117" s="12" t="n">
        <f aca="false">RANK(C117,$C$5:$C$716)</f>
        <v>550</v>
      </c>
      <c r="F117" s="12" t="n">
        <f aca="false">COUNTIFS($A$5:$A$716,A117,$C$5:$C$716,"&gt;"&amp;C117)+1</f>
        <v>70</v>
      </c>
      <c r="G117" s="9" t="n">
        <f aca="false">C117/SUMIFS($C$5:$C$716,$A$5:$A$716,A117)</f>
        <v>0.00113603457109126</v>
      </c>
    </row>
    <row r="118" customFormat="false" ht="15" hidden="false" customHeight="false" outlineLevel="0" collapsed="false">
      <c r="A118" s="7" t="s">
        <v>31</v>
      </c>
      <c r="B118" s="7" t="s">
        <v>197</v>
      </c>
      <c r="C118" s="13" t="n">
        <v>48</v>
      </c>
      <c r="D118" s="8"/>
      <c r="E118" s="12" t="n">
        <f aca="false">RANK(C118,$C$5:$C$716)</f>
        <v>570</v>
      </c>
      <c r="F118" s="12" t="n">
        <f aca="false">COUNTIFS($A$5:$A$716,A118,$C$5:$C$716,"&gt;"&amp;C118)+1</f>
        <v>71</v>
      </c>
      <c r="G118" s="9" t="n">
        <f aca="false">C118/SUMIFS($C$5:$C$716,$A$5:$A$716,A118)</f>
        <v>0.00106920900808589</v>
      </c>
    </row>
    <row r="119" customFormat="false" ht="15" hidden="false" customHeight="false" outlineLevel="0" collapsed="false">
      <c r="A119" s="7" t="s">
        <v>31</v>
      </c>
      <c r="B119" s="7" t="s">
        <v>198</v>
      </c>
      <c r="C119" s="13" t="n">
        <v>42</v>
      </c>
      <c r="D119" s="8"/>
      <c r="E119" s="12" t="n">
        <f aca="false">RANK(C119,$C$5:$C$716)</f>
        <v>603</v>
      </c>
      <c r="F119" s="12" t="n">
        <f aca="false">COUNTIFS($A$5:$A$716,A119,$C$5:$C$716,"&gt;"&amp;C119)+1</f>
        <v>72</v>
      </c>
      <c r="G119" s="9" t="n">
        <f aca="false">C119/SUMIFS($C$5:$C$716,$A$5:$A$716,A119)</f>
        <v>0.000935557882075157</v>
      </c>
    </row>
    <row r="120" customFormat="false" ht="15" hidden="false" customHeight="false" outlineLevel="0" collapsed="false">
      <c r="A120" s="7" t="s">
        <v>31</v>
      </c>
      <c r="B120" s="7" t="s">
        <v>199</v>
      </c>
      <c r="C120" s="13" t="n">
        <v>42</v>
      </c>
      <c r="D120" s="8"/>
      <c r="E120" s="12" t="n">
        <f aca="false">RANK(C120,$C$5:$C$716)</f>
        <v>603</v>
      </c>
      <c r="F120" s="12" t="n">
        <f aca="false">COUNTIFS($A$5:$A$716,A120,$C$5:$C$716,"&gt;"&amp;C120)+1</f>
        <v>72</v>
      </c>
      <c r="G120" s="9" t="n">
        <f aca="false">C120/SUMIFS($C$5:$C$716,$A$5:$A$716,A120)</f>
        <v>0.000935557882075157</v>
      </c>
    </row>
    <row r="121" customFormat="false" ht="15" hidden="false" customHeight="false" outlineLevel="0" collapsed="false">
      <c r="A121" s="7" t="s">
        <v>31</v>
      </c>
      <c r="B121" s="7" t="s">
        <v>200</v>
      </c>
      <c r="C121" s="13" t="n">
        <v>40</v>
      </c>
      <c r="D121" s="8"/>
      <c r="E121" s="12" t="n">
        <f aca="false">RANK(C121,$C$5:$C$716)</f>
        <v>615</v>
      </c>
      <c r="F121" s="12" t="n">
        <f aca="false">COUNTIFS($A$5:$A$716,A121,$C$5:$C$716,"&gt;"&amp;C121)+1</f>
        <v>74</v>
      </c>
      <c r="G121" s="9" t="n">
        <f aca="false">C121/SUMIFS($C$5:$C$716,$A$5:$A$716,A121)</f>
        <v>0.000891007506738244</v>
      </c>
    </row>
    <row r="122" customFormat="false" ht="15" hidden="false" customHeight="false" outlineLevel="0" collapsed="false">
      <c r="A122" s="7" t="s">
        <v>31</v>
      </c>
      <c r="B122" s="7" t="s">
        <v>201</v>
      </c>
      <c r="C122" s="13" t="n">
        <v>37</v>
      </c>
      <c r="D122" s="8"/>
      <c r="E122" s="12" t="n">
        <f aca="false">RANK(C122,$C$5:$C$716)</f>
        <v>635</v>
      </c>
      <c r="F122" s="12" t="n">
        <f aca="false">COUNTIFS($A$5:$A$716,A122,$C$5:$C$716,"&gt;"&amp;C122)+1</f>
        <v>75</v>
      </c>
      <c r="G122" s="9" t="n">
        <f aca="false">C122/SUMIFS($C$5:$C$716,$A$5:$A$716,A122)</f>
        <v>0.000824181943732876</v>
      </c>
    </row>
    <row r="123" customFormat="false" ht="15" hidden="false" customHeight="false" outlineLevel="0" collapsed="false">
      <c r="A123" s="7" t="s">
        <v>31</v>
      </c>
      <c r="B123" s="7" t="s">
        <v>202</v>
      </c>
      <c r="C123" s="13" t="n">
        <v>35</v>
      </c>
      <c r="D123" s="8"/>
      <c r="E123" s="12" t="n">
        <f aca="false">RANK(C123,$C$5:$C$716)</f>
        <v>647</v>
      </c>
      <c r="F123" s="12" t="n">
        <f aca="false">COUNTIFS($A$5:$A$716,A123,$C$5:$C$716,"&gt;"&amp;C123)+1</f>
        <v>76</v>
      </c>
      <c r="G123" s="9" t="n">
        <f aca="false">C123/SUMIFS($C$5:$C$716,$A$5:$A$716,A123)</f>
        <v>0.000779631568395964</v>
      </c>
    </row>
    <row r="124" customFormat="false" ht="15" hidden="false" customHeight="false" outlineLevel="0" collapsed="false">
      <c r="A124" s="7" t="s">
        <v>31</v>
      </c>
      <c r="B124" s="7" t="s">
        <v>203</v>
      </c>
      <c r="C124" s="13" t="n">
        <v>33</v>
      </c>
      <c r="D124" s="8"/>
      <c r="E124" s="12" t="n">
        <f aca="false">RANK(C124,$C$5:$C$716)</f>
        <v>661</v>
      </c>
      <c r="F124" s="12" t="n">
        <f aca="false">COUNTIFS($A$5:$A$716,A124,$C$5:$C$716,"&gt;"&amp;C124)+1</f>
        <v>77</v>
      </c>
      <c r="G124" s="9" t="n">
        <f aca="false">C124/SUMIFS($C$5:$C$716,$A$5:$A$716,A124)</f>
        <v>0.000735081193059052</v>
      </c>
    </row>
    <row r="125" customFormat="false" ht="15" hidden="false" customHeight="false" outlineLevel="0" collapsed="false">
      <c r="A125" s="7" t="s">
        <v>32</v>
      </c>
      <c r="B125" s="7" t="s">
        <v>32</v>
      </c>
      <c r="C125" s="13" t="n">
        <v>42792</v>
      </c>
      <c r="D125" s="13" t="n">
        <v>21250</v>
      </c>
      <c r="E125" s="12" t="n">
        <f aca="false">RANK(C125,$C$5:$C$716)</f>
        <v>1</v>
      </c>
      <c r="F125" s="12" t="n">
        <f aca="false">COUNTIFS($A$5:$A$716,A125,$C$5:$C$716,"&gt;"&amp;C125)+1</f>
        <v>1</v>
      </c>
      <c r="G125" s="9" t="n">
        <f aca="false">C125/SUMIFS($C$5:$C$716,$A$5:$A$716,A125)</f>
        <v>0.96109963165933</v>
      </c>
    </row>
    <row r="126" customFormat="false" ht="15" hidden="false" customHeight="false" outlineLevel="0" collapsed="false">
      <c r="A126" s="7" t="s">
        <v>32</v>
      </c>
      <c r="B126" s="7" t="s">
        <v>204</v>
      </c>
      <c r="C126" s="13" t="n">
        <v>360</v>
      </c>
      <c r="D126" s="8"/>
      <c r="E126" s="12" t="n">
        <f aca="false">RANK(C126,$C$5:$C$716)</f>
        <v>135</v>
      </c>
      <c r="F126" s="12" t="n">
        <f aca="false">COUNTIFS($A$5:$A$716,A126,$C$5:$C$716,"&gt;"&amp;C126)+1</f>
        <v>2</v>
      </c>
      <c r="G126" s="9" t="n">
        <f aca="false">C126/SUMIFS($C$5:$C$716,$A$5:$A$716,A126)</f>
        <v>0.00808552690683676</v>
      </c>
    </row>
    <row r="127" customFormat="false" ht="15" hidden="false" customHeight="false" outlineLevel="0" collapsed="false">
      <c r="A127" s="7" t="s">
        <v>32</v>
      </c>
      <c r="B127" s="7" t="s">
        <v>205</v>
      </c>
      <c r="C127" s="13" t="n">
        <v>310</v>
      </c>
      <c r="D127" s="8"/>
      <c r="E127" s="12" t="n">
        <f aca="false">RANK(C127,$C$5:$C$716)</f>
        <v>148</v>
      </c>
      <c r="F127" s="12" t="n">
        <f aca="false">COUNTIFS($A$5:$A$716,A127,$C$5:$C$716,"&gt;"&amp;C127)+1</f>
        <v>3</v>
      </c>
      <c r="G127" s="9" t="n">
        <f aca="false">C127/SUMIFS($C$5:$C$716,$A$5:$A$716,A127)</f>
        <v>0.00696253705866499</v>
      </c>
    </row>
    <row r="128" customFormat="false" ht="15" hidden="false" customHeight="false" outlineLevel="0" collapsed="false">
      <c r="A128" s="7" t="s">
        <v>32</v>
      </c>
      <c r="B128" s="7" t="s">
        <v>206</v>
      </c>
      <c r="C128" s="13" t="n">
        <v>238</v>
      </c>
      <c r="D128" s="8"/>
      <c r="E128" s="12" t="n">
        <f aca="false">RANK(C128,$C$5:$C$716)</f>
        <v>187</v>
      </c>
      <c r="F128" s="12" t="n">
        <f aca="false">COUNTIFS($A$5:$A$716,A128,$C$5:$C$716,"&gt;"&amp;C128)+1</f>
        <v>4</v>
      </c>
      <c r="G128" s="9" t="n">
        <f aca="false">C128/SUMIFS($C$5:$C$716,$A$5:$A$716,A128)</f>
        <v>0.00534543167729764</v>
      </c>
    </row>
    <row r="129" customFormat="false" ht="15" hidden="false" customHeight="false" outlineLevel="0" collapsed="false">
      <c r="A129" s="7" t="s">
        <v>32</v>
      </c>
      <c r="B129" s="7" t="s">
        <v>207</v>
      </c>
      <c r="C129" s="13" t="n">
        <v>221</v>
      </c>
      <c r="D129" s="8"/>
      <c r="E129" s="12" t="n">
        <f aca="false">RANK(C129,$C$5:$C$716)</f>
        <v>204</v>
      </c>
      <c r="F129" s="12" t="n">
        <f aca="false">COUNTIFS($A$5:$A$716,A129,$C$5:$C$716,"&gt;"&amp;C129)+1</f>
        <v>5</v>
      </c>
      <c r="G129" s="9" t="n">
        <f aca="false">C129/SUMIFS($C$5:$C$716,$A$5:$A$716,A129)</f>
        <v>0.00496361512891924</v>
      </c>
    </row>
    <row r="130" customFormat="false" ht="15" hidden="false" customHeight="false" outlineLevel="0" collapsed="false">
      <c r="A130" s="7" t="s">
        <v>32</v>
      </c>
      <c r="B130" s="7" t="s">
        <v>208</v>
      </c>
      <c r="C130" s="13" t="n">
        <v>173</v>
      </c>
      <c r="D130" s="8"/>
      <c r="E130" s="12" t="n">
        <f aca="false">RANK(C130,$C$5:$C$716)</f>
        <v>257</v>
      </c>
      <c r="F130" s="12" t="n">
        <f aca="false">COUNTIFS($A$5:$A$716,A130,$C$5:$C$716,"&gt;"&amp;C130)+1</f>
        <v>6</v>
      </c>
      <c r="G130" s="9" t="n">
        <f aca="false">C130/SUMIFS($C$5:$C$716,$A$5:$A$716,A130)</f>
        <v>0.00388554487467433</v>
      </c>
    </row>
    <row r="131" customFormat="false" ht="15" hidden="false" customHeight="false" outlineLevel="0" collapsed="false">
      <c r="A131" s="7" t="s">
        <v>32</v>
      </c>
      <c r="B131" s="7" t="s">
        <v>209</v>
      </c>
      <c r="C131" s="13" t="n">
        <v>160</v>
      </c>
      <c r="D131" s="8"/>
      <c r="E131" s="12" t="n">
        <f aca="false">RANK(C131,$C$5:$C$716)</f>
        <v>273</v>
      </c>
      <c r="F131" s="12" t="n">
        <f aca="false">COUNTIFS($A$5:$A$716,A131,$C$5:$C$716,"&gt;"&amp;C131)+1</f>
        <v>7</v>
      </c>
      <c r="G131" s="9" t="n">
        <f aca="false">C131/SUMIFS($C$5:$C$716,$A$5:$A$716,A131)</f>
        <v>0.00359356751414967</v>
      </c>
    </row>
    <row r="132" customFormat="false" ht="15" hidden="false" customHeight="false" outlineLevel="0" collapsed="false">
      <c r="A132" s="7" t="s">
        <v>32</v>
      </c>
      <c r="B132" s="7" t="s">
        <v>210</v>
      </c>
      <c r="C132" s="13" t="n">
        <v>119</v>
      </c>
      <c r="D132" s="8"/>
      <c r="E132" s="12" t="n">
        <f aca="false">RANK(C132,$C$5:$C$716)</f>
        <v>349</v>
      </c>
      <c r="F132" s="12" t="n">
        <f aca="false">COUNTIFS($A$5:$A$716,A132,$C$5:$C$716,"&gt;"&amp;C132)+1</f>
        <v>8</v>
      </c>
      <c r="G132" s="9" t="n">
        <f aca="false">C132/SUMIFS($C$5:$C$716,$A$5:$A$716,A132)</f>
        <v>0.00267271583864882</v>
      </c>
    </row>
    <row r="133" customFormat="false" ht="15" hidden="false" customHeight="false" outlineLevel="0" collapsed="false">
      <c r="A133" s="7" t="s">
        <v>32</v>
      </c>
      <c r="B133" s="7" t="s">
        <v>211</v>
      </c>
      <c r="C133" s="13" t="n">
        <v>105</v>
      </c>
      <c r="D133" s="8"/>
      <c r="E133" s="12" t="n">
        <f aca="false">RANK(C133,$C$5:$C$716)</f>
        <v>383</v>
      </c>
      <c r="F133" s="12" t="n">
        <f aca="false">COUNTIFS($A$5:$A$716,A133,$C$5:$C$716,"&gt;"&amp;C133)+1</f>
        <v>9</v>
      </c>
      <c r="G133" s="9" t="n">
        <f aca="false">C133/SUMIFS($C$5:$C$716,$A$5:$A$716,A133)</f>
        <v>0.00235827868116072</v>
      </c>
    </row>
    <row r="134" customFormat="false" ht="15" hidden="false" customHeight="false" outlineLevel="0" collapsed="false">
      <c r="A134" s="7" t="s">
        <v>32</v>
      </c>
      <c r="B134" s="7" t="s">
        <v>212</v>
      </c>
      <c r="C134" s="13" t="n">
        <v>46</v>
      </c>
      <c r="D134" s="8"/>
      <c r="E134" s="12" t="n">
        <f aca="false">RANK(C134,$C$5:$C$716)</f>
        <v>580</v>
      </c>
      <c r="F134" s="12" t="n">
        <f aca="false">COUNTIFS($A$5:$A$716,A134,$C$5:$C$716,"&gt;"&amp;C134)+1</f>
        <v>10</v>
      </c>
      <c r="G134" s="9" t="n">
        <f aca="false">C134/SUMIFS($C$5:$C$716,$A$5:$A$716,A134)</f>
        <v>0.00103315066031803</v>
      </c>
    </row>
    <row r="135" customFormat="false" ht="15" hidden="false" customHeight="false" outlineLevel="0" collapsed="false">
      <c r="A135" s="7" t="s">
        <v>30</v>
      </c>
      <c r="B135" s="7" t="s">
        <v>213</v>
      </c>
      <c r="C135" s="13" t="n">
        <v>33982</v>
      </c>
      <c r="D135" s="13" t="n">
        <v>19318</v>
      </c>
      <c r="E135" s="12" t="n">
        <f aca="false">RANK(C135,$C$5:$C$716)</f>
        <v>3</v>
      </c>
      <c r="F135" s="12" t="n">
        <f aca="false">COUNTIFS($A$5:$A$716,A135,$C$5:$C$716,"&gt;"&amp;C135)+1</f>
        <v>1</v>
      </c>
      <c r="G135" s="9" t="n">
        <f aca="false">C135/SUMIFS($C$5:$C$716,$A$5:$A$716,A135)</f>
        <v>0.824966012818023</v>
      </c>
    </row>
    <row r="136" customFormat="false" ht="15" hidden="false" customHeight="false" outlineLevel="0" collapsed="false">
      <c r="A136" s="7" t="s">
        <v>30</v>
      </c>
      <c r="B136" s="7" t="s">
        <v>214</v>
      </c>
      <c r="C136" s="13" t="n">
        <v>1174</v>
      </c>
      <c r="D136" s="8"/>
      <c r="E136" s="12" t="n">
        <f aca="false">RANK(C136,$C$5:$C$716)</f>
        <v>47</v>
      </c>
      <c r="F136" s="12" t="n">
        <f aca="false">COUNTIFS($A$5:$A$716,A136,$C$5:$C$716,"&gt;"&amp;C136)+1</f>
        <v>2</v>
      </c>
      <c r="G136" s="9" t="n">
        <f aca="false">C136/SUMIFS($C$5:$C$716,$A$5:$A$716,A136)</f>
        <v>0.0285006797436395</v>
      </c>
    </row>
    <row r="137" customFormat="false" ht="15" hidden="false" customHeight="false" outlineLevel="0" collapsed="false">
      <c r="A137" s="7" t="s">
        <v>30</v>
      </c>
      <c r="B137" s="7" t="s">
        <v>215</v>
      </c>
      <c r="C137" s="13" t="n">
        <v>902</v>
      </c>
      <c r="D137" s="8"/>
      <c r="E137" s="12" t="n">
        <f aca="false">RANK(C137,$C$5:$C$716)</f>
        <v>58</v>
      </c>
      <c r="F137" s="12" t="n">
        <f aca="false">COUNTIFS($A$5:$A$716,A137,$C$5:$C$716,"&gt;"&amp;C137)+1</f>
        <v>3</v>
      </c>
      <c r="G137" s="9" t="n">
        <f aca="false">C137/SUMIFS($C$5:$C$716,$A$5:$A$716,A137)</f>
        <v>0.0218974558166634</v>
      </c>
    </row>
    <row r="138" customFormat="false" ht="15" hidden="false" customHeight="false" outlineLevel="0" collapsed="false">
      <c r="A138" s="7" t="s">
        <v>30</v>
      </c>
      <c r="B138" s="7" t="s">
        <v>216</v>
      </c>
      <c r="C138" s="13" t="n">
        <v>814</v>
      </c>
      <c r="D138" s="8"/>
      <c r="E138" s="12" t="n">
        <f aca="false">RANK(C138,$C$5:$C$716)</f>
        <v>63</v>
      </c>
      <c r="F138" s="12" t="n">
        <f aca="false">COUNTIFS($A$5:$A$716,A138,$C$5:$C$716,"&gt;"&amp;C138)+1</f>
        <v>4</v>
      </c>
      <c r="G138" s="9" t="n">
        <f aca="false">C138/SUMIFS($C$5:$C$716,$A$5:$A$716,A138)</f>
        <v>0.0197611186638182</v>
      </c>
    </row>
    <row r="139" customFormat="false" ht="15" hidden="false" customHeight="false" outlineLevel="0" collapsed="false">
      <c r="A139" s="7" t="s">
        <v>30</v>
      </c>
      <c r="B139" s="7" t="s">
        <v>217</v>
      </c>
      <c r="C139" s="13" t="n">
        <v>672</v>
      </c>
      <c r="D139" s="8"/>
      <c r="E139" s="12" t="n">
        <f aca="false">RANK(C139,$C$5:$C$716)</f>
        <v>78</v>
      </c>
      <c r="F139" s="12" t="n">
        <f aca="false">COUNTIFS($A$5:$A$716,A139,$C$5:$C$716,"&gt;"&amp;C139)+1</f>
        <v>5</v>
      </c>
      <c r="G139" s="9" t="n">
        <f aca="false">C139/SUMIFS($C$5:$C$716,$A$5:$A$716,A139)</f>
        <v>0.0163138473489998</v>
      </c>
    </row>
    <row r="140" customFormat="false" ht="15" hidden="false" customHeight="false" outlineLevel="0" collapsed="false">
      <c r="A140" s="7" t="s">
        <v>30</v>
      </c>
      <c r="B140" s="7" t="s">
        <v>218</v>
      </c>
      <c r="C140" s="13" t="n">
        <v>422</v>
      </c>
      <c r="D140" s="8"/>
      <c r="E140" s="12" t="n">
        <f aca="false">RANK(C140,$C$5:$C$716)</f>
        <v>121</v>
      </c>
      <c r="F140" s="12" t="n">
        <f aca="false">COUNTIFS($A$5:$A$716,A140,$C$5:$C$716,"&gt;"&amp;C140)+1</f>
        <v>6</v>
      </c>
      <c r="G140" s="9" t="n">
        <f aca="false">C140/SUMIFS($C$5:$C$716,$A$5:$A$716,A140)</f>
        <v>0.010244707710235</v>
      </c>
    </row>
    <row r="141" customFormat="false" ht="15" hidden="false" customHeight="false" outlineLevel="0" collapsed="false">
      <c r="A141" s="7" t="s">
        <v>30</v>
      </c>
      <c r="B141" s="7" t="s">
        <v>219</v>
      </c>
      <c r="C141" s="13" t="n">
        <v>260</v>
      </c>
      <c r="D141" s="8"/>
      <c r="E141" s="12" t="n">
        <f aca="false">RANK(C141,$C$5:$C$716)</f>
        <v>173</v>
      </c>
      <c r="F141" s="12" t="n">
        <f aca="false">COUNTIFS($A$5:$A$716,A141,$C$5:$C$716,"&gt;"&amp;C141)+1</f>
        <v>7</v>
      </c>
      <c r="G141" s="9" t="n">
        <f aca="false">C141/SUMIFS($C$5:$C$716,$A$5:$A$716,A141)</f>
        <v>0.0063119052243154</v>
      </c>
    </row>
    <row r="142" customFormat="false" ht="15" hidden="false" customHeight="false" outlineLevel="0" collapsed="false">
      <c r="A142" s="7" t="s">
        <v>30</v>
      </c>
      <c r="B142" s="7" t="s">
        <v>220</v>
      </c>
      <c r="C142" s="13" t="n">
        <v>253</v>
      </c>
      <c r="D142" s="8"/>
      <c r="E142" s="12" t="n">
        <f aca="false">RANK(C142,$C$5:$C$716)</f>
        <v>175</v>
      </c>
      <c r="F142" s="12" t="n">
        <f aca="false">COUNTIFS($A$5:$A$716,A142,$C$5:$C$716,"&gt;"&amp;C142)+1</f>
        <v>8</v>
      </c>
      <c r="G142" s="9" t="n">
        <f aca="false">C142/SUMIFS($C$5:$C$716,$A$5:$A$716,A142)</f>
        <v>0.00614196931442999</v>
      </c>
    </row>
    <row r="143" customFormat="false" ht="15" hidden="false" customHeight="false" outlineLevel="0" collapsed="false">
      <c r="A143" s="7" t="s">
        <v>30</v>
      </c>
      <c r="B143" s="7" t="s">
        <v>221</v>
      </c>
      <c r="C143" s="13" t="n">
        <v>236</v>
      </c>
      <c r="D143" s="8"/>
      <c r="E143" s="12" t="n">
        <f aca="false">RANK(C143,$C$5:$C$716)</f>
        <v>189</v>
      </c>
      <c r="F143" s="12" t="n">
        <f aca="false">COUNTIFS($A$5:$A$716,A143,$C$5:$C$716,"&gt;"&amp;C143)+1</f>
        <v>9</v>
      </c>
      <c r="G143" s="9" t="n">
        <f aca="false">C143/SUMIFS($C$5:$C$716,$A$5:$A$716,A143)</f>
        <v>0.00572926781899398</v>
      </c>
    </row>
    <row r="144" customFormat="false" ht="15" hidden="false" customHeight="false" outlineLevel="0" collapsed="false">
      <c r="A144" s="7" t="s">
        <v>30</v>
      </c>
      <c r="B144" s="7" t="s">
        <v>222</v>
      </c>
      <c r="C144" s="13" t="n">
        <v>230</v>
      </c>
      <c r="D144" s="8"/>
      <c r="E144" s="12" t="n">
        <f aca="false">RANK(C144,$C$5:$C$716)</f>
        <v>193</v>
      </c>
      <c r="F144" s="12" t="n">
        <f aca="false">COUNTIFS($A$5:$A$716,A144,$C$5:$C$716,"&gt;"&amp;C144)+1</f>
        <v>10</v>
      </c>
      <c r="G144" s="9" t="n">
        <f aca="false">C144/SUMIFS($C$5:$C$716,$A$5:$A$716,A144)</f>
        <v>0.00558360846766362</v>
      </c>
    </row>
    <row r="145" customFormat="false" ht="15" hidden="false" customHeight="false" outlineLevel="0" collapsed="false">
      <c r="A145" s="7" t="s">
        <v>30</v>
      </c>
      <c r="B145" s="7" t="s">
        <v>223</v>
      </c>
      <c r="C145" s="13" t="n">
        <v>230</v>
      </c>
      <c r="D145" s="8"/>
      <c r="E145" s="12" t="n">
        <f aca="false">RANK(C145,$C$5:$C$716)</f>
        <v>193</v>
      </c>
      <c r="F145" s="12" t="n">
        <f aca="false">COUNTIFS($A$5:$A$716,A145,$C$5:$C$716,"&gt;"&amp;C145)+1</f>
        <v>10</v>
      </c>
      <c r="G145" s="9" t="n">
        <f aca="false">C145/SUMIFS($C$5:$C$716,$A$5:$A$716,A145)</f>
        <v>0.00558360846766362</v>
      </c>
    </row>
    <row r="146" customFormat="false" ht="15" hidden="false" customHeight="false" outlineLevel="0" collapsed="false">
      <c r="A146" s="7" t="s">
        <v>30</v>
      </c>
      <c r="B146" s="7" t="s">
        <v>224</v>
      </c>
      <c r="C146" s="13" t="n">
        <v>218</v>
      </c>
      <c r="D146" s="8"/>
      <c r="E146" s="12" t="n">
        <f aca="false">RANK(C146,$C$5:$C$716)</f>
        <v>209</v>
      </c>
      <c r="F146" s="12" t="n">
        <f aca="false">COUNTIFS($A$5:$A$716,A146,$C$5:$C$716,"&gt;"&amp;C146)+1</f>
        <v>12</v>
      </c>
      <c r="G146" s="9" t="n">
        <f aca="false">C146/SUMIFS($C$5:$C$716,$A$5:$A$716,A146)</f>
        <v>0.00529228976500291</v>
      </c>
    </row>
    <row r="147" customFormat="false" ht="15" hidden="false" customHeight="false" outlineLevel="0" collapsed="false">
      <c r="A147" s="7" t="s">
        <v>30</v>
      </c>
      <c r="B147" s="7" t="s">
        <v>225</v>
      </c>
      <c r="C147" s="13" t="n">
        <v>179</v>
      </c>
      <c r="D147" s="8"/>
      <c r="E147" s="12" t="n">
        <f aca="false">RANK(C147,$C$5:$C$716)</f>
        <v>248</v>
      </c>
      <c r="F147" s="12" t="n">
        <f aca="false">COUNTIFS($A$5:$A$716,A147,$C$5:$C$716,"&gt;"&amp;C147)+1</f>
        <v>13</v>
      </c>
      <c r="G147" s="9" t="n">
        <f aca="false">C147/SUMIFS($C$5:$C$716,$A$5:$A$716,A147)</f>
        <v>0.0043455039813556</v>
      </c>
    </row>
    <row r="148" customFormat="false" ht="15" hidden="false" customHeight="false" outlineLevel="0" collapsed="false">
      <c r="A148" s="7" t="s">
        <v>30</v>
      </c>
      <c r="B148" s="7" t="s">
        <v>226</v>
      </c>
      <c r="C148" s="13" t="n">
        <v>154</v>
      </c>
      <c r="D148" s="8"/>
      <c r="E148" s="12" t="n">
        <f aca="false">RANK(C148,$C$5:$C$716)</f>
        <v>283</v>
      </c>
      <c r="F148" s="12" t="n">
        <f aca="false">COUNTIFS($A$5:$A$716,A148,$C$5:$C$716,"&gt;"&amp;C148)+1</f>
        <v>14</v>
      </c>
      <c r="G148" s="9" t="n">
        <f aca="false">C148/SUMIFS($C$5:$C$716,$A$5:$A$716,A148)</f>
        <v>0.00373859001747912</v>
      </c>
    </row>
    <row r="149" customFormat="false" ht="15" hidden="false" customHeight="false" outlineLevel="0" collapsed="false">
      <c r="A149" s="7" t="s">
        <v>30</v>
      </c>
      <c r="B149" s="7" t="s">
        <v>227</v>
      </c>
      <c r="C149" s="13" t="n">
        <v>153</v>
      </c>
      <c r="D149" s="8"/>
      <c r="E149" s="12" t="n">
        <f aca="false">RANK(C149,$C$5:$C$716)</f>
        <v>284</v>
      </c>
      <c r="F149" s="12" t="n">
        <f aca="false">COUNTIFS($A$5:$A$716,A149,$C$5:$C$716,"&gt;"&amp;C149)+1</f>
        <v>15</v>
      </c>
      <c r="G149" s="9" t="n">
        <f aca="false">C149/SUMIFS($C$5:$C$716,$A$5:$A$716,A149)</f>
        <v>0.00371431345892406</v>
      </c>
    </row>
    <row r="150" customFormat="false" ht="15" hidden="false" customHeight="false" outlineLevel="0" collapsed="false">
      <c r="A150" s="7" t="s">
        <v>30</v>
      </c>
      <c r="B150" s="7" t="s">
        <v>228</v>
      </c>
      <c r="C150" s="13" t="n">
        <v>135</v>
      </c>
      <c r="D150" s="8"/>
      <c r="E150" s="12" t="n">
        <f aca="false">RANK(C150,$C$5:$C$716)</f>
        <v>313</v>
      </c>
      <c r="F150" s="12" t="n">
        <f aca="false">COUNTIFS($A$5:$A$716,A150,$C$5:$C$716,"&gt;"&amp;C150)+1</f>
        <v>16</v>
      </c>
      <c r="G150" s="9" t="n">
        <f aca="false">C150/SUMIFS($C$5:$C$716,$A$5:$A$716,A150)</f>
        <v>0.003277335404933</v>
      </c>
    </row>
    <row r="151" customFormat="false" ht="15" hidden="false" customHeight="false" outlineLevel="0" collapsed="false">
      <c r="A151" s="7" t="s">
        <v>30</v>
      </c>
      <c r="B151" s="7" t="s">
        <v>229</v>
      </c>
      <c r="C151" s="13" t="n">
        <v>133</v>
      </c>
      <c r="D151" s="8"/>
      <c r="E151" s="12" t="n">
        <f aca="false">RANK(C151,$C$5:$C$716)</f>
        <v>317</v>
      </c>
      <c r="F151" s="12" t="n">
        <f aca="false">COUNTIFS($A$5:$A$716,A151,$C$5:$C$716,"&gt;"&amp;C151)+1</f>
        <v>17</v>
      </c>
      <c r="G151" s="9" t="n">
        <f aca="false">C151/SUMIFS($C$5:$C$716,$A$5:$A$716,A151)</f>
        <v>0.00322878228782288</v>
      </c>
    </row>
    <row r="152" customFormat="false" ht="15" hidden="false" customHeight="false" outlineLevel="0" collapsed="false">
      <c r="A152" s="7" t="s">
        <v>30</v>
      </c>
      <c r="B152" s="7" t="s">
        <v>230</v>
      </c>
      <c r="C152" s="13" t="n">
        <v>111</v>
      </c>
      <c r="D152" s="8"/>
      <c r="E152" s="12" t="n">
        <f aca="false">RANK(C152,$C$5:$C$716)</f>
        <v>368</v>
      </c>
      <c r="F152" s="12" t="n">
        <f aca="false">COUNTIFS($A$5:$A$716,A152,$C$5:$C$716,"&gt;"&amp;C152)+1</f>
        <v>18</v>
      </c>
      <c r="G152" s="9" t="n">
        <f aca="false">C152/SUMIFS($C$5:$C$716,$A$5:$A$716,A152)</f>
        <v>0.00269469799961158</v>
      </c>
    </row>
    <row r="153" customFormat="false" ht="15" hidden="false" customHeight="false" outlineLevel="0" collapsed="false">
      <c r="A153" s="7" t="s">
        <v>30</v>
      </c>
      <c r="B153" s="7" t="s">
        <v>231</v>
      </c>
      <c r="C153" s="13" t="n">
        <v>107</v>
      </c>
      <c r="D153" s="8"/>
      <c r="E153" s="12" t="n">
        <f aca="false">RANK(C153,$C$5:$C$716)</f>
        <v>378</v>
      </c>
      <c r="F153" s="12" t="n">
        <f aca="false">COUNTIFS($A$5:$A$716,A153,$C$5:$C$716,"&gt;"&amp;C153)+1</f>
        <v>19</v>
      </c>
      <c r="G153" s="9" t="n">
        <f aca="false">C153/SUMIFS($C$5:$C$716,$A$5:$A$716,A153)</f>
        <v>0.00259759176539134</v>
      </c>
    </row>
    <row r="154" customFormat="false" ht="15" hidden="false" customHeight="false" outlineLevel="0" collapsed="false">
      <c r="A154" s="7" t="s">
        <v>30</v>
      </c>
      <c r="B154" s="7" t="s">
        <v>232</v>
      </c>
      <c r="C154" s="13" t="n">
        <v>97</v>
      </c>
      <c r="D154" s="8"/>
      <c r="E154" s="12" t="n">
        <f aca="false">RANK(C154,$C$5:$C$716)</f>
        <v>403</v>
      </c>
      <c r="F154" s="12" t="n">
        <f aca="false">COUNTIFS($A$5:$A$716,A154,$C$5:$C$716,"&gt;"&amp;C154)+1</f>
        <v>20</v>
      </c>
      <c r="G154" s="9" t="n">
        <f aca="false">C154/SUMIFS($C$5:$C$716,$A$5:$A$716,A154)</f>
        <v>0.00235482617984075</v>
      </c>
    </row>
    <row r="155" customFormat="false" ht="15" hidden="false" customHeight="false" outlineLevel="0" collapsed="false">
      <c r="A155" s="7" t="s">
        <v>30</v>
      </c>
      <c r="B155" s="7" t="s">
        <v>233</v>
      </c>
      <c r="C155" s="13" t="n">
        <v>90</v>
      </c>
      <c r="D155" s="8"/>
      <c r="E155" s="12" t="n">
        <f aca="false">RANK(C155,$C$5:$C$716)</f>
        <v>419</v>
      </c>
      <c r="F155" s="12" t="n">
        <f aca="false">COUNTIFS($A$5:$A$716,A155,$C$5:$C$716,"&gt;"&amp;C155)+1</f>
        <v>21</v>
      </c>
      <c r="G155" s="9" t="n">
        <f aca="false">C155/SUMIFS($C$5:$C$716,$A$5:$A$716,A155)</f>
        <v>0.00218489026995533</v>
      </c>
    </row>
    <row r="156" customFormat="false" ht="15" hidden="false" customHeight="false" outlineLevel="0" collapsed="false">
      <c r="A156" s="7" t="s">
        <v>30</v>
      </c>
      <c r="B156" s="7" t="s">
        <v>234</v>
      </c>
      <c r="C156" s="13" t="n">
        <v>90</v>
      </c>
      <c r="D156" s="8"/>
      <c r="E156" s="12" t="n">
        <f aca="false">RANK(C156,$C$5:$C$716)</f>
        <v>419</v>
      </c>
      <c r="F156" s="12" t="n">
        <f aca="false">COUNTIFS($A$5:$A$716,A156,$C$5:$C$716,"&gt;"&amp;C156)+1</f>
        <v>21</v>
      </c>
      <c r="G156" s="9" t="n">
        <f aca="false">C156/SUMIFS($C$5:$C$716,$A$5:$A$716,A156)</f>
        <v>0.00218489026995533</v>
      </c>
    </row>
    <row r="157" customFormat="false" ht="15" hidden="false" customHeight="false" outlineLevel="0" collapsed="false">
      <c r="A157" s="7" t="s">
        <v>30</v>
      </c>
      <c r="B157" s="7" t="s">
        <v>235</v>
      </c>
      <c r="C157" s="13" t="n">
        <v>84</v>
      </c>
      <c r="D157" s="8"/>
      <c r="E157" s="12" t="n">
        <f aca="false">RANK(C157,$C$5:$C$716)</f>
        <v>432</v>
      </c>
      <c r="F157" s="12" t="n">
        <f aca="false">COUNTIFS($A$5:$A$716,A157,$C$5:$C$716,"&gt;"&amp;C157)+1</f>
        <v>23</v>
      </c>
      <c r="G157" s="9" t="n">
        <f aca="false">C157/SUMIFS($C$5:$C$716,$A$5:$A$716,A157)</f>
        <v>0.00203923091862498</v>
      </c>
    </row>
    <row r="158" customFormat="false" ht="15" hidden="false" customHeight="false" outlineLevel="0" collapsed="false">
      <c r="A158" s="7" t="s">
        <v>30</v>
      </c>
      <c r="B158" s="7" t="s">
        <v>236</v>
      </c>
      <c r="C158" s="13" t="n">
        <v>77</v>
      </c>
      <c r="D158" s="8"/>
      <c r="E158" s="12" t="n">
        <f aca="false">RANK(C158,$C$5:$C$716)</f>
        <v>462</v>
      </c>
      <c r="F158" s="12" t="n">
        <f aca="false">COUNTIFS($A$5:$A$716,A158,$C$5:$C$716,"&gt;"&amp;C158)+1</f>
        <v>24</v>
      </c>
      <c r="G158" s="9" t="n">
        <f aca="false">C158/SUMIFS($C$5:$C$716,$A$5:$A$716,A158)</f>
        <v>0.00186929500873956</v>
      </c>
    </row>
    <row r="159" customFormat="false" ht="15" hidden="false" customHeight="false" outlineLevel="0" collapsed="false">
      <c r="A159" s="7" t="s">
        <v>30</v>
      </c>
      <c r="B159" s="7" t="s">
        <v>237</v>
      </c>
      <c r="C159" s="13" t="n">
        <v>64</v>
      </c>
      <c r="D159" s="8"/>
      <c r="E159" s="12" t="n">
        <f aca="false">RANK(C159,$C$5:$C$716)</f>
        <v>508</v>
      </c>
      <c r="F159" s="12" t="n">
        <f aca="false">COUNTIFS($A$5:$A$716,A159,$C$5:$C$716,"&gt;"&amp;C159)+1</f>
        <v>25</v>
      </c>
      <c r="G159" s="9" t="n">
        <f aca="false">C159/SUMIFS($C$5:$C$716,$A$5:$A$716,A159)</f>
        <v>0.00155369974752379</v>
      </c>
    </row>
    <row r="160" customFormat="false" ht="15" hidden="false" customHeight="false" outlineLevel="0" collapsed="false">
      <c r="A160" s="7" t="s">
        <v>30</v>
      </c>
      <c r="B160" s="7" t="s">
        <v>238</v>
      </c>
      <c r="C160" s="13" t="n">
        <v>52</v>
      </c>
      <c r="D160" s="8"/>
      <c r="E160" s="12" t="n">
        <f aca="false">RANK(C160,$C$5:$C$716)</f>
        <v>546</v>
      </c>
      <c r="F160" s="12" t="n">
        <f aca="false">COUNTIFS($A$5:$A$716,A160,$C$5:$C$716,"&gt;"&amp;C160)+1</f>
        <v>26</v>
      </c>
      <c r="G160" s="9" t="n">
        <f aca="false">C160/SUMIFS($C$5:$C$716,$A$5:$A$716,A160)</f>
        <v>0.00126238104486308</v>
      </c>
    </row>
    <row r="161" customFormat="false" ht="15" hidden="false" customHeight="false" outlineLevel="0" collapsed="false">
      <c r="A161" s="7" t="s">
        <v>30</v>
      </c>
      <c r="B161" s="7" t="s">
        <v>239</v>
      </c>
      <c r="C161" s="13" t="n">
        <v>40</v>
      </c>
      <c r="D161" s="8"/>
      <c r="E161" s="12" t="n">
        <f aca="false">RANK(C161,$C$5:$C$716)</f>
        <v>615</v>
      </c>
      <c r="F161" s="12" t="n">
        <f aca="false">COUNTIFS($A$5:$A$716,A161,$C$5:$C$716,"&gt;"&amp;C161)+1</f>
        <v>27</v>
      </c>
      <c r="G161" s="9" t="n">
        <f aca="false">C161/SUMIFS($C$5:$C$716,$A$5:$A$716,A161)</f>
        <v>0.000971062342202369</v>
      </c>
    </row>
    <row r="162" customFormat="false" ht="15" hidden="false" customHeight="false" outlineLevel="0" collapsed="false">
      <c r="A162" s="7" t="s">
        <v>30</v>
      </c>
      <c r="B162" s="7" t="s">
        <v>240</v>
      </c>
      <c r="C162" s="13" t="n">
        <v>39</v>
      </c>
      <c r="D162" s="8"/>
      <c r="E162" s="12" t="n">
        <f aca="false">RANK(C162,$C$5:$C$716)</f>
        <v>623</v>
      </c>
      <c r="F162" s="12" t="n">
        <f aca="false">COUNTIFS($A$5:$A$716,A162,$C$5:$C$716,"&gt;"&amp;C162)+1</f>
        <v>28</v>
      </c>
      <c r="G162" s="9" t="n">
        <f aca="false">C162/SUMIFS($C$5:$C$716,$A$5:$A$716,A162)</f>
        <v>0.00094678578364731</v>
      </c>
    </row>
    <row r="163" customFormat="false" ht="15" hidden="false" customHeight="false" outlineLevel="0" collapsed="false">
      <c r="A163" s="7" t="s">
        <v>30</v>
      </c>
      <c r="B163" s="7" t="s">
        <v>241</v>
      </c>
      <c r="C163" s="13" t="n">
        <v>38</v>
      </c>
      <c r="D163" s="8"/>
      <c r="E163" s="12" t="n">
        <f aca="false">RANK(C163,$C$5:$C$716)</f>
        <v>629</v>
      </c>
      <c r="F163" s="12" t="n">
        <f aca="false">COUNTIFS($A$5:$A$716,A163,$C$5:$C$716,"&gt;"&amp;C163)+1</f>
        <v>29</v>
      </c>
      <c r="G163" s="9" t="n">
        <f aca="false">C163/SUMIFS($C$5:$C$716,$A$5:$A$716,A163)</f>
        <v>0.000922509225092251</v>
      </c>
    </row>
    <row r="164" customFormat="false" ht="15" hidden="false" customHeight="false" outlineLevel="0" collapsed="false">
      <c r="A164" s="7" t="s">
        <v>30</v>
      </c>
      <c r="B164" s="7" t="s">
        <v>242</v>
      </c>
      <c r="C164" s="13" t="n">
        <v>38</v>
      </c>
      <c r="D164" s="8"/>
      <c r="E164" s="12" t="n">
        <f aca="false">RANK(C164,$C$5:$C$716)</f>
        <v>629</v>
      </c>
      <c r="F164" s="12" t="n">
        <f aca="false">COUNTIFS($A$5:$A$716,A164,$C$5:$C$716,"&gt;"&amp;C164)+1</f>
        <v>29</v>
      </c>
      <c r="G164" s="9" t="n">
        <f aca="false">C164/SUMIFS($C$5:$C$716,$A$5:$A$716,A164)</f>
        <v>0.000922509225092251</v>
      </c>
    </row>
    <row r="165" customFormat="false" ht="15" hidden="false" customHeight="false" outlineLevel="0" collapsed="false">
      <c r="A165" s="7" t="s">
        <v>30</v>
      </c>
      <c r="B165" s="7" t="s">
        <v>243</v>
      </c>
      <c r="C165" s="13" t="n">
        <v>32</v>
      </c>
      <c r="D165" s="8"/>
      <c r="E165" s="12" t="n">
        <f aca="false">RANK(C165,$C$5:$C$716)</f>
        <v>668</v>
      </c>
      <c r="F165" s="12" t="n">
        <f aca="false">COUNTIFS($A$5:$A$716,A165,$C$5:$C$716,"&gt;"&amp;C165)+1</f>
        <v>31</v>
      </c>
      <c r="G165" s="9" t="n">
        <f aca="false">C165/SUMIFS($C$5:$C$716,$A$5:$A$716,A165)</f>
        <v>0.000776849873761896</v>
      </c>
    </row>
    <row r="166" customFormat="false" ht="15" hidden="false" customHeight="false" outlineLevel="0" collapsed="false">
      <c r="A166" s="7" t="s">
        <v>30</v>
      </c>
      <c r="B166" s="7" t="s">
        <v>244</v>
      </c>
      <c r="C166" s="13" t="n">
        <v>31</v>
      </c>
      <c r="D166" s="8"/>
      <c r="E166" s="12" t="n">
        <f aca="false">RANK(C166,$C$5:$C$716)</f>
        <v>673</v>
      </c>
      <c r="F166" s="12" t="n">
        <f aca="false">COUNTIFS($A$5:$A$716,A166,$C$5:$C$716,"&gt;"&amp;C166)+1</f>
        <v>32</v>
      </c>
      <c r="G166" s="9" t="n">
        <f aca="false">C166/SUMIFS($C$5:$C$716,$A$5:$A$716,A166)</f>
        <v>0.000752573315206836</v>
      </c>
    </row>
    <row r="167" customFormat="false" ht="15" hidden="false" customHeight="false" outlineLevel="0" collapsed="false">
      <c r="A167" s="7" t="s">
        <v>30</v>
      </c>
      <c r="B167" s="7" t="s">
        <v>245</v>
      </c>
      <c r="C167" s="13" t="n">
        <v>30</v>
      </c>
      <c r="D167" s="8"/>
      <c r="E167" s="12" t="n">
        <f aca="false">RANK(C167,$C$5:$C$716)</f>
        <v>683</v>
      </c>
      <c r="F167" s="12" t="n">
        <f aca="false">COUNTIFS($A$5:$A$716,A167,$C$5:$C$716,"&gt;"&amp;C167)+1</f>
        <v>33</v>
      </c>
      <c r="G167" s="9" t="n">
        <f aca="false">C167/SUMIFS($C$5:$C$716,$A$5:$A$716,A167)</f>
        <v>0.000728296756651777</v>
      </c>
    </row>
    <row r="168" customFormat="false" ht="15" hidden="false" customHeight="false" outlineLevel="0" collapsed="false">
      <c r="A168" s="7" t="s">
        <v>30</v>
      </c>
      <c r="B168" s="7" t="s">
        <v>246</v>
      </c>
      <c r="C168" s="13" t="n">
        <v>25</v>
      </c>
      <c r="D168" s="8"/>
      <c r="E168" s="12" t="n">
        <f aca="false">RANK(C168,$C$5:$C$716)</f>
        <v>708</v>
      </c>
      <c r="F168" s="12" t="n">
        <f aca="false">COUNTIFS($A$5:$A$716,A168,$C$5:$C$716,"&gt;"&amp;C168)+1</f>
        <v>34</v>
      </c>
      <c r="G168" s="9" t="n">
        <f aca="false">C168/SUMIFS($C$5:$C$716,$A$5:$A$716,A168)</f>
        <v>0.000606913963876481</v>
      </c>
    </row>
    <row r="169" customFormat="false" ht="15" hidden="false" customHeight="false" outlineLevel="0" collapsed="false">
      <c r="A169" s="7" t="s">
        <v>33</v>
      </c>
      <c r="B169" s="7" t="s">
        <v>247</v>
      </c>
      <c r="C169" s="13" t="n">
        <v>15020</v>
      </c>
      <c r="D169" s="13" t="n">
        <v>9117</v>
      </c>
      <c r="E169" s="12" t="n">
        <f aca="false">RANK(C169,$C$5:$C$716)</f>
        <v>7</v>
      </c>
      <c r="F169" s="12" t="n">
        <f aca="false">COUNTIFS($A$5:$A$716,A169,$C$5:$C$716,"&gt;"&amp;C169)+1</f>
        <v>1</v>
      </c>
      <c r="G169" s="9" t="n">
        <f aca="false">C169/SUMIFS($C$5:$C$716,$A$5:$A$716,A169)</f>
        <v>0.432292416174989</v>
      </c>
    </row>
    <row r="170" customFormat="false" ht="15" hidden="false" customHeight="false" outlineLevel="0" collapsed="false">
      <c r="A170" s="7" t="s">
        <v>33</v>
      </c>
      <c r="B170" s="7" t="s">
        <v>248</v>
      </c>
      <c r="C170" s="13" t="n">
        <v>5304</v>
      </c>
      <c r="D170" s="8"/>
      <c r="E170" s="12" t="n">
        <f aca="false">RANK(C170,$C$5:$C$716)</f>
        <v>14</v>
      </c>
      <c r="F170" s="12" t="n">
        <f aca="false">COUNTIFS($A$5:$A$716,A170,$C$5:$C$716,"&gt;"&amp;C170)+1</f>
        <v>2</v>
      </c>
      <c r="G170" s="9" t="n">
        <f aca="false">C170/SUMIFS($C$5:$C$716,$A$5:$A$716,A170)</f>
        <v>0.152655058281767</v>
      </c>
    </row>
    <row r="171" customFormat="false" ht="15" hidden="false" customHeight="false" outlineLevel="0" collapsed="false">
      <c r="A171" s="7" t="s">
        <v>33</v>
      </c>
      <c r="B171" s="7" t="s">
        <v>249</v>
      </c>
      <c r="C171" s="13" t="n">
        <v>3964</v>
      </c>
      <c r="D171" s="8"/>
      <c r="E171" s="12" t="n">
        <f aca="false">RANK(C171,$C$5:$C$716)</f>
        <v>20</v>
      </c>
      <c r="F171" s="12" t="n">
        <f aca="false">COUNTIFS($A$5:$A$716,A171,$C$5:$C$716,"&gt;"&amp;C171)+1</f>
        <v>3</v>
      </c>
      <c r="G171" s="9" t="n">
        <f aca="false">C171/SUMIFS($C$5:$C$716,$A$5:$A$716,A171)</f>
        <v>0.114088358037128</v>
      </c>
    </row>
    <row r="172" customFormat="false" ht="15" hidden="false" customHeight="false" outlineLevel="0" collapsed="false">
      <c r="A172" s="7" t="s">
        <v>33</v>
      </c>
      <c r="B172" s="7" t="s">
        <v>250</v>
      </c>
      <c r="C172" s="13" t="n">
        <v>3174</v>
      </c>
      <c r="D172" s="8"/>
      <c r="E172" s="12" t="n">
        <f aca="false">RANK(C172,$C$5:$C$716)</f>
        <v>24</v>
      </c>
      <c r="F172" s="12" t="n">
        <f aca="false">COUNTIFS($A$5:$A$716,A172,$C$5:$C$716,"&gt;"&amp;C172)+1</f>
        <v>4</v>
      </c>
      <c r="G172" s="9" t="n">
        <f aca="false">C172/SUMIFS($C$5:$C$716,$A$5:$A$716,A172)</f>
        <v>0.0913512735645417</v>
      </c>
    </row>
    <row r="173" customFormat="false" ht="15" hidden="false" customHeight="false" outlineLevel="0" collapsed="false">
      <c r="A173" s="7" t="s">
        <v>33</v>
      </c>
      <c r="B173" s="7" t="s">
        <v>251</v>
      </c>
      <c r="C173" s="13" t="n">
        <v>664</v>
      </c>
      <c r="D173" s="8"/>
      <c r="E173" s="12" t="n">
        <f aca="false">RANK(C173,$C$5:$C$716)</f>
        <v>79</v>
      </c>
      <c r="F173" s="12" t="n">
        <f aca="false">COUNTIFS($A$5:$A$716,A173,$C$5:$C$716,"&gt;"&amp;C173)+1</f>
        <v>5</v>
      </c>
      <c r="G173" s="9" t="n">
        <f aca="false">C173/SUMIFS($C$5:$C$716,$A$5:$A$716,A173)</f>
        <v>0.0191106634048064</v>
      </c>
    </row>
    <row r="174" customFormat="false" ht="15" hidden="false" customHeight="false" outlineLevel="0" collapsed="false">
      <c r="A174" s="7" t="s">
        <v>33</v>
      </c>
      <c r="B174" s="7" t="s">
        <v>252</v>
      </c>
      <c r="C174" s="13" t="n">
        <v>585</v>
      </c>
      <c r="D174" s="8"/>
      <c r="E174" s="12" t="n">
        <f aca="false">RANK(C174,$C$5:$C$716)</f>
        <v>89</v>
      </c>
      <c r="F174" s="12" t="n">
        <f aca="false">COUNTIFS($A$5:$A$716,A174,$C$5:$C$716,"&gt;"&amp;C174)+1</f>
        <v>6</v>
      </c>
      <c r="G174" s="9" t="n">
        <f aca="false">C174/SUMIFS($C$5:$C$716,$A$5:$A$716,A174)</f>
        <v>0.0168369549575478</v>
      </c>
    </row>
    <row r="175" customFormat="false" ht="15" hidden="false" customHeight="false" outlineLevel="0" collapsed="false">
      <c r="A175" s="7" t="s">
        <v>33</v>
      </c>
      <c r="B175" s="7" t="s">
        <v>253</v>
      </c>
      <c r="C175" s="13" t="n">
        <v>535</v>
      </c>
      <c r="D175" s="8"/>
      <c r="E175" s="12" t="n">
        <f aca="false">RANK(C175,$C$5:$C$716)</f>
        <v>99</v>
      </c>
      <c r="F175" s="12" t="n">
        <f aca="false">COUNTIFS($A$5:$A$716,A175,$C$5:$C$716,"&gt;"&amp;C175)+1</f>
        <v>7</v>
      </c>
      <c r="G175" s="9" t="n">
        <f aca="false">C175/SUMIFS($C$5:$C$716,$A$5:$A$716,A175)</f>
        <v>0.0153978989782703</v>
      </c>
    </row>
    <row r="176" customFormat="false" ht="15" hidden="false" customHeight="false" outlineLevel="0" collapsed="false">
      <c r="A176" s="7" t="s">
        <v>33</v>
      </c>
      <c r="B176" s="7" t="s">
        <v>254</v>
      </c>
      <c r="C176" s="13" t="n">
        <v>490</v>
      </c>
      <c r="D176" s="8"/>
      <c r="E176" s="12" t="n">
        <f aca="false">RANK(C176,$C$5:$C$716)</f>
        <v>108</v>
      </c>
      <c r="F176" s="12" t="n">
        <f aca="false">COUNTIFS($A$5:$A$716,A176,$C$5:$C$716,"&gt;"&amp;C176)+1</f>
        <v>8</v>
      </c>
      <c r="G176" s="9" t="n">
        <f aca="false">C176/SUMIFS($C$5:$C$716,$A$5:$A$716,A176)</f>
        <v>0.0141027485969204</v>
      </c>
    </row>
    <row r="177" customFormat="false" ht="15" hidden="false" customHeight="false" outlineLevel="0" collapsed="false">
      <c r="A177" s="7" t="s">
        <v>33</v>
      </c>
      <c r="B177" s="7" t="s">
        <v>255</v>
      </c>
      <c r="C177" s="13" t="n">
        <v>488</v>
      </c>
      <c r="D177" s="8"/>
      <c r="E177" s="12" t="n">
        <f aca="false">RANK(C177,$C$5:$C$716)</f>
        <v>110</v>
      </c>
      <c r="F177" s="12" t="n">
        <f aca="false">COUNTIFS($A$5:$A$716,A177,$C$5:$C$716,"&gt;"&amp;C177)+1</f>
        <v>9</v>
      </c>
      <c r="G177" s="9" t="n">
        <f aca="false">C177/SUMIFS($C$5:$C$716,$A$5:$A$716,A177)</f>
        <v>0.0140451863577493</v>
      </c>
    </row>
    <row r="178" customFormat="false" ht="15" hidden="false" customHeight="false" outlineLevel="0" collapsed="false">
      <c r="A178" s="7" t="s">
        <v>33</v>
      </c>
      <c r="B178" s="7" t="s">
        <v>256</v>
      </c>
      <c r="C178" s="13" t="n">
        <v>484</v>
      </c>
      <c r="D178" s="8"/>
      <c r="E178" s="12" t="n">
        <f aca="false">RANK(C178,$C$5:$C$716)</f>
        <v>112</v>
      </c>
      <c r="F178" s="12" t="n">
        <f aca="false">COUNTIFS($A$5:$A$716,A178,$C$5:$C$716,"&gt;"&amp;C178)+1</f>
        <v>10</v>
      </c>
      <c r="G178" s="9" t="n">
        <f aca="false">C178/SUMIFS($C$5:$C$716,$A$5:$A$716,A178)</f>
        <v>0.0139300618794071</v>
      </c>
    </row>
    <row r="179" customFormat="false" ht="15" hidden="false" customHeight="false" outlineLevel="0" collapsed="false">
      <c r="A179" s="7" t="s">
        <v>33</v>
      </c>
      <c r="B179" s="7" t="s">
        <v>257</v>
      </c>
      <c r="C179" s="13" t="n">
        <v>433</v>
      </c>
      <c r="D179" s="8"/>
      <c r="E179" s="12" t="n">
        <f aca="false">RANK(C179,$C$5:$C$716)</f>
        <v>115</v>
      </c>
      <c r="F179" s="12" t="n">
        <f aca="false">COUNTIFS($A$5:$A$716,A179,$C$5:$C$716,"&gt;"&amp;C179)+1</f>
        <v>11</v>
      </c>
      <c r="G179" s="9" t="n">
        <f aca="false">C179/SUMIFS($C$5:$C$716,$A$5:$A$716,A179)</f>
        <v>0.012462224780544</v>
      </c>
    </row>
    <row r="180" customFormat="false" ht="15" hidden="false" customHeight="false" outlineLevel="0" collapsed="false">
      <c r="A180" s="7" t="s">
        <v>33</v>
      </c>
      <c r="B180" s="7" t="s">
        <v>258</v>
      </c>
      <c r="C180" s="13" t="n">
        <v>339</v>
      </c>
      <c r="D180" s="8"/>
      <c r="E180" s="12" t="n">
        <f aca="false">RANK(C180,$C$5:$C$716)</f>
        <v>140</v>
      </c>
      <c r="F180" s="12" t="n">
        <f aca="false">COUNTIFS($A$5:$A$716,A180,$C$5:$C$716,"&gt;"&amp;C180)+1</f>
        <v>12</v>
      </c>
      <c r="G180" s="9" t="n">
        <f aca="false">C180/SUMIFS($C$5:$C$716,$A$5:$A$716,A180)</f>
        <v>0.00975679953950209</v>
      </c>
    </row>
    <row r="181" customFormat="false" ht="15" hidden="false" customHeight="false" outlineLevel="0" collapsed="false">
      <c r="A181" s="7" t="s">
        <v>33</v>
      </c>
      <c r="B181" s="7" t="s">
        <v>259</v>
      </c>
      <c r="C181" s="13" t="n">
        <v>329</v>
      </c>
      <c r="D181" s="8"/>
      <c r="E181" s="12" t="n">
        <f aca="false">RANK(C181,$C$5:$C$716)</f>
        <v>144</v>
      </c>
      <c r="F181" s="12" t="n">
        <f aca="false">COUNTIFS($A$5:$A$716,A181,$C$5:$C$716,"&gt;"&amp;C181)+1</f>
        <v>13</v>
      </c>
      <c r="G181" s="9" t="n">
        <f aca="false">C181/SUMIFS($C$5:$C$716,$A$5:$A$716,A181)</f>
        <v>0.00946898834364657</v>
      </c>
    </row>
    <row r="182" customFormat="false" ht="15" hidden="false" customHeight="false" outlineLevel="0" collapsed="false">
      <c r="A182" s="7" t="s">
        <v>33</v>
      </c>
      <c r="B182" s="7" t="s">
        <v>260</v>
      </c>
      <c r="C182" s="13" t="n">
        <v>271</v>
      </c>
      <c r="D182" s="8"/>
      <c r="E182" s="12" t="n">
        <f aca="false">RANK(C182,$C$5:$C$716)</f>
        <v>161</v>
      </c>
      <c r="F182" s="12" t="n">
        <f aca="false">COUNTIFS($A$5:$A$716,A182,$C$5:$C$716,"&gt;"&amp;C182)+1</f>
        <v>14</v>
      </c>
      <c r="G182" s="9" t="n">
        <f aca="false">C182/SUMIFS($C$5:$C$716,$A$5:$A$716,A182)</f>
        <v>0.00779968340768456</v>
      </c>
    </row>
    <row r="183" customFormat="false" ht="15" hidden="false" customHeight="false" outlineLevel="0" collapsed="false">
      <c r="A183" s="7" t="s">
        <v>33</v>
      </c>
      <c r="B183" s="7" t="s">
        <v>261</v>
      </c>
      <c r="C183" s="13" t="n">
        <v>266</v>
      </c>
      <c r="D183" s="8"/>
      <c r="E183" s="12" t="n">
        <f aca="false">RANK(C183,$C$5:$C$716)</f>
        <v>167</v>
      </c>
      <c r="F183" s="12" t="n">
        <f aca="false">COUNTIFS($A$5:$A$716,A183,$C$5:$C$716,"&gt;"&amp;C183)+1</f>
        <v>15</v>
      </c>
      <c r="G183" s="9" t="n">
        <f aca="false">C183/SUMIFS($C$5:$C$716,$A$5:$A$716,A183)</f>
        <v>0.0076557778097568</v>
      </c>
    </row>
    <row r="184" customFormat="false" ht="15" hidden="false" customHeight="false" outlineLevel="0" collapsed="false">
      <c r="A184" s="7" t="s">
        <v>33</v>
      </c>
      <c r="B184" s="7" t="s">
        <v>262</v>
      </c>
      <c r="C184" s="13" t="n">
        <v>224</v>
      </c>
      <c r="D184" s="8"/>
      <c r="E184" s="12" t="n">
        <f aca="false">RANK(C184,$C$5:$C$716)</f>
        <v>200</v>
      </c>
      <c r="F184" s="12" t="n">
        <f aca="false">COUNTIFS($A$5:$A$716,A184,$C$5:$C$716,"&gt;"&amp;C184)+1</f>
        <v>16</v>
      </c>
      <c r="G184" s="9" t="n">
        <f aca="false">C184/SUMIFS($C$5:$C$716,$A$5:$A$716,A184)</f>
        <v>0.00644697078716362</v>
      </c>
    </row>
    <row r="185" customFormat="false" ht="15" hidden="false" customHeight="false" outlineLevel="0" collapsed="false">
      <c r="A185" s="7" t="s">
        <v>33</v>
      </c>
      <c r="B185" s="7" t="s">
        <v>263</v>
      </c>
      <c r="C185" s="13" t="n">
        <v>194</v>
      </c>
      <c r="D185" s="8"/>
      <c r="E185" s="12" t="n">
        <f aca="false">RANK(C185,$C$5:$C$716)</f>
        <v>237</v>
      </c>
      <c r="F185" s="12" t="n">
        <f aca="false">COUNTIFS($A$5:$A$716,A185,$C$5:$C$716,"&gt;"&amp;C185)+1</f>
        <v>17</v>
      </c>
      <c r="G185" s="9" t="n">
        <f aca="false">C185/SUMIFS($C$5:$C$716,$A$5:$A$716,A185)</f>
        <v>0.00558353719959706</v>
      </c>
    </row>
    <row r="186" customFormat="false" ht="15" hidden="false" customHeight="false" outlineLevel="0" collapsed="false">
      <c r="A186" s="7" t="s">
        <v>33</v>
      </c>
      <c r="B186" s="7" t="s">
        <v>264</v>
      </c>
      <c r="C186" s="13" t="n">
        <v>168</v>
      </c>
      <c r="D186" s="8"/>
      <c r="E186" s="12" t="n">
        <f aca="false">RANK(C186,$C$5:$C$716)</f>
        <v>263</v>
      </c>
      <c r="F186" s="12" t="n">
        <f aca="false">COUNTIFS($A$5:$A$716,A186,$C$5:$C$716,"&gt;"&amp;C186)+1</f>
        <v>18</v>
      </c>
      <c r="G186" s="9" t="n">
        <f aca="false">C186/SUMIFS($C$5:$C$716,$A$5:$A$716,A186)</f>
        <v>0.00483522809037272</v>
      </c>
    </row>
    <row r="187" customFormat="false" ht="15" hidden="false" customHeight="false" outlineLevel="0" collapsed="false">
      <c r="A187" s="7" t="s">
        <v>33</v>
      </c>
      <c r="B187" s="7" t="s">
        <v>265</v>
      </c>
      <c r="C187" s="13" t="n">
        <v>156</v>
      </c>
      <c r="D187" s="8"/>
      <c r="E187" s="12" t="n">
        <f aca="false">RANK(C187,$C$5:$C$716)</f>
        <v>279</v>
      </c>
      <c r="F187" s="12" t="n">
        <f aca="false">COUNTIFS($A$5:$A$716,A187,$C$5:$C$716,"&gt;"&amp;C187)+1</f>
        <v>19</v>
      </c>
      <c r="G187" s="9" t="n">
        <f aca="false">C187/SUMIFS($C$5:$C$716,$A$5:$A$716,A187)</f>
        <v>0.00448985465534609</v>
      </c>
    </row>
    <row r="188" customFormat="false" ht="15" hidden="false" customHeight="false" outlineLevel="0" collapsed="false">
      <c r="A188" s="7" t="s">
        <v>33</v>
      </c>
      <c r="B188" s="7" t="s">
        <v>266</v>
      </c>
      <c r="C188" s="13" t="n">
        <v>152</v>
      </c>
      <c r="D188" s="8"/>
      <c r="E188" s="12" t="n">
        <f aca="false">RANK(C188,$C$5:$C$716)</f>
        <v>287</v>
      </c>
      <c r="F188" s="12" t="n">
        <f aca="false">COUNTIFS($A$5:$A$716,A188,$C$5:$C$716,"&gt;"&amp;C188)+1</f>
        <v>20</v>
      </c>
      <c r="G188" s="9" t="n">
        <f aca="false">C188/SUMIFS($C$5:$C$716,$A$5:$A$716,A188)</f>
        <v>0.00437473017700389</v>
      </c>
    </row>
    <row r="189" customFormat="false" ht="15" hidden="false" customHeight="false" outlineLevel="0" collapsed="false">
      <c r="A189" s="7" t="s">
        <v>33</v>
      </c>
      <c r="B189" s="7" t="s">
        <v>267</v>
      </c>
      <c r="C189" s="13" t="n">
        <v>142</v>
      </c>
      <c r="D189" s="8"/>
      <c r="E189" s="12" t="n">
        <f aca="false">RANK(C189,$C$5:$C$716)</f>
        <v>302</v>
      </c>
      <c r="F189" s="12" t="n">
        <f aca="false">COUNTIFS($A$5:$A$716,A189,$C$5:$C$716,"&gt;"&amp;C189)+1</f>
        <v>21</v>
      </c>
      <c r="G189" s="9" t="n">
        <f aca="false">C189/SUMIFS($C$5:$C$716,$A$5:$A$716,A189)</f>
        <v>0.00408691898114837</v>
      </c>
    </row>
    <row r="190" customFormat="false" ht="15" hidden="false" customHeight="false" outlineLevel="0" collapsed="false">
      <c r="A190" s="7" t="s">
        <v>33</v>
      </c>
      <c r="B190" s="7" t="s">
        <v>268</v>
      </c>
      <c r="C190" s="13" t="n">
        <v>137</v>
      </c>
      <c r="D190" s="8"/>
      <c r="E190" s="12" t="n">
        <f aca="false">RANK(C190,$C$5:$C$716)</f>
        <v>310</v>
      </c>
      <c r="F190" s="12" t="n">
        <f aca="false">COUNTIFS($A$5:$A$716,A190,$C$5:$C$716,"&gt;"&amp;C190)+1</f>
        <v>22</v>
      </c>
      <c r="G190" s="9" t="n">
        <f aca="false">C190/SUMIFS($C$5:$C$716,$A$5:$A$716,A190)</f>
        <v>0.00394301338322061</v>
      </c>
    </row>
    <row r="191" customFormat="false" ht="15" hidden="false" customHeight="false" outlineLevel="0" collapsed="false">
      <c r="A191" s="7" t="s">
        <v>33</v>
      </c>
      <c r="B191" s="7" t="s">
        <v>269</v>
      </c>
      <c r="C191" s="13" t="n">
        <v>125</v>
      </c>
      <c r="D191" s="8"/>
      <c r="E191" s="12" t="n">
        <f aca="false">RANK(C191,$C$5:$C$716)</f>
        <v>335</v>
      </c>
      <c r="F191" s="12" t="n">
        <f aca="false">COUNTIFS($A$5:$A$716,A191,$C$5:$C$716,"&gt;"&amp;C191)+1</f>
        <v>23</v>
      </c>
      <c r="G191" s="9" t="n">
        <f aca="false">C191/SUMIFS($C$5:$C$716,$A$5:$A$716,A191)</f>
        <v>0.00359763994819399</v>
      </c>
    </row>
    <row r="192" customFormat="false" ht="15" hidden="false" customHeight="false" outlineLevel="0" collapsed="false">
      <c r="A192" s="7" t="s">
        <v>33</v>
      </c>
      <c r="B192" s="7" t="s">
        <v>270</v>
      </c>
      <c r="C192" s="13" t="n">
        <v>124</v>
      </c>
      <c r="D192" s="8"/>
      <c r="E192" s="12" t="n">
        <f aca="false">RANK(C192,$C$5:$C$716)</f>
        <v>337</v>
      </c>
      <c r="F192" s="12" t="n">
        <f aca="false">COUNTIFS($A$5:$A$716,A192,$C$5:$C$716,"&gt;"&amp;C192)+1</f>
        <v>24</v>
      </c>
      <c r="G192" s="9" t="n">
        <f aca="false">C192/SUMIFS($C$5:$C$716,$A$5:$A$716,A192)</f>
        <v>0.00356885882860843</v>
      </c>
    </row>
    <row r="193" customFormat="false" ht="15" hidden="false" customHeight="false" outlineLevel="0" collapsed="false">
      <c r="A193" s="7" t="s">
        <v>33</v>
      </c>
      <c r="B193" s="7" t="s">
        <v>271</v>
      </c>
      <c r="C193" s="13" t="n">
        <v>120</v>
      </c>
      <c r="D193" s="8"/>
      <c r="E193" s="12" t="n">
        <f aca="false">RANK(C193,$C$5:$C$716)</f>
        <v>347</v>
      </c>
      <c r="F193" s="12" t="n">
        <f aca="false">COUNTIFS($A$5:$A$716,A193,$C$5:$C$716,"&gt;"&amp;C193)+1</f>
        <v>25</v>
      </c>
      <c r="G193" s="9" t="n">
        <f aca="false">C193/SUMIFS($C$5:$C$716,$A$5:$A$716,A193)</f>
        <v>0.00345373435026623</v>
      </c>
    </row>
    <row r="194" customFormat="false" ht="15" hidden="false" customHeight="false" outlineLevel="0" collapsed="false">
      <c r="A194" s="7" t="s">
        <v>33</v>
      </c>
      <c r="B194" s="7" t="s">
        <v>272</v>
      </c>
      <c r="C194" s="13" t="n">
        <v>88</v>
      </c>
      <c r="D194" s="8"/>
      <c r="E194" s="12" t="n">
        <f aca="false">RANK(C194,$C$5:$C$716)</f>
        <v>422</v>
      </c>
      <c r="F194" s="12" t="n">
        <f aca="false">COUNTIFS($A$5:$A$716,A194,$C$5:$C$716,"&gt;"&amp;C194)+1</f>
        <v>26</v>
      </c>
      <c r="G194" s="9" t="n">
        <f aca="false">C194/SUMIFS($C$5:$C$716,$A$5:$A$716,A194)</f>
        <v>0.00253273852352857</v>
      </c>
    </row>
    <row r="195" customFormat="false" ht="15" hidden="false" customHeight="false" outlineLevel="0" collapsed="false">
      <c r="A195" s="7" t="s">
        <v>33</v>
      </c>
      <c r="B195" s="7" t="s">
        <v>273</v>
      </c>
      <c r="C195" s="13" t="n">
        <v>84</v>
      </c>
      <c r="D195" s="8"/>
      <c r="E195" s="12" t="n">
        <f aca="false">RANK(C195,$C$5:$C$716)</f>
        <v>432</v>
      </c>
      <c r="F195" s="12" t="n">
        <f aca="false">COUNTIFS($A$5:$A$716,A195,$C$5:$C$716,"&gt;"&amp;C195)+1</f>
        <v>27</v>
      </c>
      <c r="G195" s="9" t="n">
        <f aca="false">C195/SUMIFS($C$5:$C$716,$A$5:$A$716,A195)</f>
        <v>0.00241761404518636</v>
      </c>
    </row>
    <row r="196" customFormat="false" ht="15" hidden="false" customHeight="false" outlineLevel="0" collapsed="false">
      <c r="A196" s="7" t="s">
        <v>33</v>
      </c>
      <c r="B196" s="7" t="s">
        <v>274</v>
      </c>
      <c r="C196" s="13" t="n">
        <v>84</v>
      </c>
      <c r="D196" s="8"/>
      <c r="E196" s="12" t="n">
        <f aca="false">RANK(C196,$C$5:$C$716)</f>
        <v>432</v>
      </c>
      <c r="F196" s="12" t="n">
        <f aca="false">COUNTIFS($A$5:$A$716,A196,$C$5:$C$716,"&gt;"&amp;C196)+1</f>
        <v>27</v>
      </c>
      <c r="G196" s="9" t="n">
        <f aca="false">C196/SUMIFS($C$5:$C$716,$A$5:$A$716,A196)</f>
        <v>0.00241761404518636</v>
      </c>
    </row>
    <row r="197" customFormat="false" ht="15" hidden="false" customHeight="false" outlineLevel="0" collapsed="false">
      <c r="A197" s="7" t="s">
        <v>33</v>
      </c>
      <c r="B197" s="7" t="s">
        <v>275</v>
      </c>
      <c r="C197" s="13" t="n">
        <v>71</v>
      </c>
      <c r="D197" s="8"/>
      <c r="E197" s="12" t="n">
        <f aca="false">RANK(C197,$C$5:$C$716)</f>
        <v>484</v>
      </c>
      <c r="F197" s="12" t="n">
        <f aca="false">COUNTIFS($A$5:$A$716,A197,$C$5:$C$716,"&gt;"&amp;C197)+1</f>
        <v>29</v>
      </c>
      <c r="G197" s="9" t="n">
        <f aca="false">C197/SUMIFS($C$5:$C$716,$A$5:$A$716,A197)</f>
        <v>0.00204345949057418</v>
      </c>
    </row>
    <row r="198" customFormat="false" ht="15" hidden="false" customHeight="false" outlineLevel="0" collapsed="false">
      <c r="A198" s="7" t="s">
        <v>33</v>
      </c>
      <c r="B198" s="7" t="s">
        <v>276</v>
      </c>
      <c r="C198" s="13" t="n">
        <v>62</v>
      </c>
      <c r="D198" s="8"/>
      <c r="E198" s="12" t="n">
        <f aca="false">RANK(C198,$C$5:$C$716)</f>
        <v>516</v>
      </c>
      <c r="F198" s="12" t="n">
        <f aca="false">COUNTIFS($A$5:$A$716,A198,$C$5:$C$716,"&gt;"&amp;C198)+1</f>
        <v>30</v>
      </c>
      <c r="G198" s="9" t="n">
        <f aca="false">C198/SUMIFS($C$5:$C$716,$A$5:$A$716,A198)</f>
        <v>0.00178442941430422</v>
      </c>
    </row>
    <row r="199" customFormat="false" ht="15" hidden="false" customHeight="false" outlineLevel="0" collapsed="false">
      <c r="A199" s="7" t="s">
        <v>33</v>
      </c>
      <c r="B199" s="7" t="s">
        <v>277</v>
      </c>
      <c r="C199" s="13" t="n">
        <v>60</v>
      </c>
      <c r="D199" s="8"/>
      <c r="E199" s="12" t="n">
        <f aca="false">RANK(C199,$C$5:$C$716)</f>
        <v>521</v>
      </c>
      <c r="F199" s="12" t="n">
        <f aca="false">COUNTIFS($A$5:$A$716,A199,$C$5:$C$716,"&gt;"&amp;C199)+1</f>
        <v>31</v>
      </c>
      <c r="G199" s="9" t="n">
        <f aca="false">C199/SUMIFS($C$5:$C$716,$A$5:$A$716,A199)</f>
        <v>0.00172686717513311</v>
      </c>
    </row>
    <row r="200" customFormat="false" ht="15" hidden="false" customHeight="false" outlineLevel="0" collapsed="false">
      <c r="A200" s="7" t="s">
        <v>33</v>
      </c>
      <c r="B200" s="7" t="s">
        <v>278</v>
      </c>
      <c r="C200" s="13" t="n">
        <v>54</v>
      </c>
      <c r="D200" s="8"/>
      <c r="E200" s="12" t="n">
        <f aca="false">RANK(C200,$C$5:$C$716)</f>
        <v>540</v>
      </c>
      <c r="F200" s="12" t="n">
        <f aca="false">COUNTIFS($A$5:$A$716,A200,$C$5:$C$716,"&gt;"&amp;C200)+1</f>
        <v>32</v>
      </c>
      <c r="G200" s="9" t="n">
        <f aca="false">C200/SUMIFS($C$5:$C$716,$A$5:$A$716,A200)</f>
        <v>0.0015541804576198</v>
      </c>
    </row>
    <row r="201" customFormat="false" ht="15" hidden="false" customHeight="false" outlineLevel="0" collapsed="false">
      <c r="A201" s="7" t="s">
        <v>33</v>
      </c>
      <c r="B201" s="7" t="s">
        <v>279</v>
      </c>
      <c r="C201" s="13" t="n">
        <v>45</v>
      </c>
      <c r="D201" s="8"/>
      <c r="E201" s="12" t="n">
        <f aca="false">RANK(C201,$C$5:$C$716)</f>
        <v>586</v>
      </c>
      <c r="F201" s="12" t="n">
        <f aca="false">COUNTIFS($A$5:$A$716,A201,$C$5:$C$716,"&gt;"&amp;C201)+1</f>
        <v>33</v>
      </c>
      <c r="G201" s="9" t="n">
        <f aca="false">C201/SUMIFS($C$5:$C$716,$A$5:$A$716,A201)</f>
        <v>0.00129515038134983</v>
      </c>
    </row>
    <row r="202" customFormat="false" ht="15" hidden="false" customHeight="false" outlineLevel="0" collapsed="false">
      <c r="A202" s="7" t="s">
        <v>33</v>
      </c>
      <c r="B202" s="7" t="s">
        <v>280</v>
      </c>
      <c r="C202" s="13" t="n">
        <v>45</v>
      </c>
      <c r="D202" s="8"/>
      <c r="E202" s="12" t="n">
        <f aca="false">RANK(C202,$C$5:$C$716)</f>
        <v>586</v>
      </c>
      <c r="F202" s="12" t="n">
        <f aca="false">COUNTIFS($A$5:$A$716,A202,$C$5:$C$716,"&gt;"&amp;C202)+1</f>
        <v>33</v>
      </c>
      <c r="G202" s="9" t="n">
        <f aca="false">C202/SUMIFS($C$5:$C$716,$A$5:$A$716,A202)</f>
        <v>0.00129515038134983</v>
      </c>
    </row>
    <row r="203" customFormat="false" ht="15" hidden="false" customHeight="false" outlineLevel="0" collapsed="false">
      <c r="A203" s="7" t="s">
        <v>33</v>
      </c>
      <c r="B203" s="7" t="s">
        <v>281</v>
      </c>
      <c r="C203" s="13" t="n">
        <v>41</v>
      </c>
      <c r="D203" s="8"/>
      <c r="E203" s="12" t="n">
        <f aca="false">RANK(C203,$C$5:$C$716)</f>
        <v>609</v>
      </c>
      <c r="F203" s="12" t="n">
        <f aca="false">COUNTIFS($A$5:$A$716,A203,$C$5:$C$716,"&gt;"&amp;C203)+1</f>
        <v>35</v>
      </c>
      <c r="G203" s="9" t="n">
        <f aca="false">C203/SUMIFS($C$5:$C$716,$A$5:$A$716,A203)</f>
        <v>0.00118002590300763</v>
      </c>
    </row>
    <row r="204" customFormat="false" ht="15" hidden="false" customHeight="false" outlineLevel="0" collapsed="false">
      <c r="A204" s="7" t="s">
        <v>33</v>
      </c>
      <c r="B204" s="7" t="s">
        <v>282</v>
      </c>
      <c r="C204" s="13" t="n">
        <v>39</v>
      </c>
      <c r="D204" s="8"/>
      <c r="E204" s="12" t="n">
        <f aca="false">RANK(C204,$C$5:$C$716)</f>
        <v>623</v>
      </c>
      <c r="F204" s="12" t="n">
        <f aca="false">COUNTIFS($A$5:$A$716,A204,$C$5:$C$716,"&gt;"&amp;C204)+1</f>
        <v>36</v>
      </c>
      <c r="G204" s="9" t="n">
        <f aca="false">C204/SUMIFS($C$5:$C$716,$A$5:$A$716,A204)</f>
        <v>0.00112246366383652</v>
      </c>
    </row>
    <row r="205" customFormat="false" ht="15" hidden="false" customHeight="false" outlineLevel="0" collapsed="false">
      <c r="A205" s="7" t="s">
        <v>33</v>
      </c>
      <c r="B205" s="7" t="s">
        <v>283</v>
      </c>
      <c r="C205" s="13" t="n">
        <v>37</v>
      </c>
      <c r="D205" s="8"/>
      <c r="E205" s="12" t="n">
        <f aca="false">RANK(C205,$C$5:$C$716)</f>
        <v>635</v>
      </c>
      <c r="F205" s="12" t="n">
        <f aca="false">COUNTIFS($A$5:$A$716,A205,$C$5:$C$716,"&gt;"&amp;C205)+1</f>
        <v>37</v>
      </c>
      <c r="G205" s="9" t="n">
        <f aca="false">C205/SUMIFS($C$5:$C$716,$A$5:$A$716,A205)</f>
        <v>0.00106490142466542</v>
      </c>
    </row>
    <row r="206" customFormat="false" ht="15" hidden="false" customHeight="false" outlineLevel="0" collapsed="false">
      <c r="A206" s="7" t="s">
        <v>33</v>
      </c>
      <c r="B206" s="7" t="s">
        <v>284</v>
      </c>
      <c r="C206" s="13" t="n">
        <v>32</v>
      </c>
      <c r="D206" s="8"/>
      <c r="E206" s="12" t="n">
        <f aca="false">RANK(C206,$C$5:$C$716)</f>
        <v>668</v>
      </c>
      <c r="F206" s="12" t="n">
        <f aca="false">COUNTIFS($A$5:$A$716,A206,$C$5:$C$716,"&gt;"&amp;C206)+1</f>
        <v>38</v>
      </c>
      <c r="G206" s="9" t="n">
        <f aca="false">C206/SUMIFS($C$5:$C$716,$A$5:$A$716,A206)</f>
        <v>0.00092099582673766</v>
      </c>
    </row>
    <row r="207" customFormat="false" ht="15" hidden="false" customHeight="false" outlineLevel="0" collapsed="false">
      <c r="A207" s="7" t="s">
        <v>33</v>
      </c>
      <c r="B207" s="7" t="s">
        <v>285</v>
      </c>
      <c r="C207" s="13" t="n">
        <v>31</v>
      </c>
      <c r="D207" s="8"/>
      <c r="E207" s="12" t="n">
        <f aca="false">RANK(C207,$C$5:$C$716)</f>
        <v>673</v>
      </c>
      <c r="F207" s="12" t="n">
        <f aca="false">COUNTIFS($A$5:$A$716,A207,$C$5:$C$716,"&gt;"&amp;C207)+1</f>
        <v>39</v>
      </c>
      <c r="G207" s="9" t="n">
        <f aca="false">C207/SUMIFS($C$5:$C$716,$A$5:$A$716,A207)</f>
        <v>0.000892214707152108</v>
      </c>
    </row>
    <row r="208" customFormat="false" ht="15" hidden="false" customHeight="false" outlineLevel="0" collapsed="false">
      <c r="A208" s="7" t="s">
        <v>33</v>
      </c>
      <c r="B208" s="7" t="s">
        <v>286</v>
      </c>
      <c r="C208" s="13" t="n">
        <v>31</v>
      </c>
      <c r="D208" s="8"/>
      <c r="E208" s="12" t="n">
        <f aca="false">RANK(C208,$C$5:$C$716)</f>
        <v>673</v>
      </c>
      <c r="F208" s="12" t="n">
        <f aca="false">COUNTIFS($A$5:$A$716,A208,$C$5:$C$716,"&gt;"&amp;C208)+1</f>
        <v>39</v>
      </c>
      <c r="G208" s="9" t="n">
        <f aca="false">C208/SUMIFS($C$5:$C$716,$A$5:$A$716,A208)</f>
        <v>0.000892214707152108</v>
      </c>
    </row>
    <row r="209" customFormat="false" ht="15" hidden="false" customHeight="false" outlineLevel="0" collapsed="false">
      <c r="A209" s="7" t="s">
        <v>33</v>
      </c>
      <c r="B209" s="7" t="s">
        <v>287</v>
      </c>
      <c r="C209" s="13" t="n">
        <v>28</v>
      </c>
      <c r="D209" s="8"/>
      <c r="E209" s="12" t="n">
        <f aca="false">RANK(C209,$C$5:$C$716)</f>
        <v>697</v>
      </c>
      <c r="F209" s="12" t="n">
        <f aca="false">COUNTIFS($A$5:$A$716,A209,$C$5:$C$716,"&gt;"&amp;C209)+1</f>
        <v>41</v>
      </c>
      <c r="G209" s="9" t="n">
        <f aca="false">C209/SUMIFS($C$5:$C$716,$A$5:$A$716,A209)</f>
        <v>0.000805871348395453</v>
      </c>
    </row>
    <row r="210" customFormat="false" ht="15" hidden="false" customHeight="false" outlineLevel="0" collapsed="false">
      <c r="A210" s="7" t="s">
        <v>33</v>
      </c>
      <c r="B210" s="7" t="s">
        <v>288</v>
      </c>
      <c r="C210" s="13" t="n">
        <v>25</v>
      </c>
      <c r="D210" s="8"/>
      <c r="E210" s="12" t="n">
        <f aca="false">RANK(C210,$C$5:$C$716)</f>
        <v>708</v>
      </c>
      <c r="F210" s="12" t="n">
        <f aca="false">COUNTIFS($A$5:$A$716,A210,$C$5:$C$716,"&gt;"&amp;C210)+1</f>
        <v>42</v>
      </c>
      <c r="G210" s="9" t="n">
        <f aca="false">C210/SUMIFS($C$5:$C$716,$A$5:$A$716,A210)</f>
        <v>0.000719527989638797</v>
      </c>
    </row>
    <row r="211" customFormat="false" ht="15" hidden="false" customHeight="false" outlineLevel="0" collapsed="false">
      <c r="A211" s="7" t="s">
        <v>34</v>
      </c>
      <c r="B211" s="7" t="s">
        <v>289</v>
      </c>
      <c r="C211" s="13" t="n">
        <v>15662</v>
      </c>
      <c r="D211" s="13" t="n">
        <v>8400</v>
      </c>
      <c r="E211" s="12" t="n">
        <f aca="false">RANK(C211,$C$5:$C$716)</f>
        <v>6</v>
      </c>
      <c r="F211" s="12" t="n">
        <f aca="false">COUNTIFS($A$5:$A$716,A211,$C$5:$C$716,"&gt;"&amp;C211)+1</f>
        <v>1</v>
      </c>
      <c r="G211" s="9" t="n">
        <f aca="false">C211/SUMIFS($C$5:$C$716,$A$5:$A$716,A211)</f>
        <v>0.528835764451648</v>
      </c>
    </row>
    <row r="212" customFormat="false" ht="15" hidden="false" customHeight="false" outlineLevel="0" collapsed="false">
      <c r="A212" s="7" t="s">
        <v>34</v>
      </c>
      <c r="B212" s="7" t="s">
        <v>290</v>
      </c>
      <c r="C212" s="13" t="n">
        <v>4095</v>
      </c>
      <c r="D212" s="8"/>
      <c r="E212" s="12" t="n">
        <f aca="false">RANK(C212,$C$5:$C$716)</f>
        <v>17</v>
      </c>
      <c r="F212" s="12" t="n">
        <f aca="false">COUNTIFS($A$5:$A$716,A212,$C$5:$C$716,"&gt;"&amp;C212)+1</f>
        <v>2</v>
      </c>
      <c r="G212" s="9" t="n">
        <f aca="false">C212/SUMIFS($C$5:$C$716,$A$5:$A$716,A212)</f>
        <v>0.138269854132901</v>
      </c>
    </row>
    <row r="213" customFormat="false" ht="15" hidden="false" customHeight="false" outlineLevel="0" collapsed="false">
      <c r="A213" s="7" t="s">
        <v>34</v>
      </c>
      <c r="B213" s="7" t="s">
        <v>291</v>
      </c>
      <c r="C213" s="13" t="n">
        <v>1077</v>
      </c>
      <c r="D213" s="8"/>
      <c r="E213" s="12" t="n">
        <f aca="false">RANK(C213,$C$5:$C$716)</f>
        <v>49</v>
      </c>
      <c r="F213" s="12" t="n">
        <f aca="false">COUNTIFS($A$5:$A$716,A213,$C$5:$C$716,"&gt;"&amp;C213)+1</f>
        <v>3</v>
      </c>
      <c r="G213" s="9" t="n">
        <f aca="false">C213/SUMIFS($C$5:$C$716,$A$5:$A$716,A213)</f>
        <v>0.0363654781199352</v>
      </c>
    </row>
    <row r="214" customFormat="false" ht="15" hidden="false" customHeight="false" outlineLevel="0" collapsed="false">
      <c r="A214" s="7" t="s">
        <v>34</v>
      </c>
      <c r="B214" s="7" t="s">
        <v>292</v>
      </c>
      <c r="C214" s="13" t="n">
        <v>868</v>
      </c>
      <c r="D214" s="8"/>
      <c r="E214" s="12" t="n">
        <f aca="false">RANK(C214,$C$5:$C$716)</f>
        <v>60</v>
      </c>
      <c r="F214" s="12" t="n">
        <f aca="false">COUNTIFS($A$5:$A$716,A214,$C$5:$C$716,"&gt;"&amp;C214)+1</f>
        <v>4</v>
      </c>
      <c r="G214" s="9" t="n">
        <f aca="false">C214/SUMIFS($C$5:$C$716,$A$5:$A$716,A214)</f>
        <v>0.0293084819016748</v>
      </c>
    </row>
    <row r="215" customFormat="false" ht="15" hidden="false" customHeight="false" outlineLevel="0" collapsed="false">
      <c r="A215" s="7" t="s">
        <v>34</v>
      </c>
      <c r="B215" s="7" t="s">
        <v>293</v>
      </c>
      <c r="C215" s="13" t="n">
        <v>852</v>
      </c>
      <c r="D215" s="8"/>
      <c r="E215" s="12" t="n">
        <f aca="false">RANK(C215,$C$5:$C$716)</f>
        <v>61</v>
      </c>
      <c r="F215" s="12" t="n">
        <f aca="false">COUNTIFS($A$5:$A$716,A215,$C$5:$C$716,"&gt;"&amp;C215)+1</f>
        <v>5</v>
      </c>
      <c r="G215" s="9" t="n">
        <f aca="false">C215/SUMIFS($C$5:$C$716,$A$5:$A$716,A215)</f>
        <v>0.0287682333873582</v>
      </c>
    </row>
    <row r="216" customFormat="false" ht="15" hidden="false" customHeight="false" outlineLevel="0" collapsed="false">
      <c r="A216" s="7" t="s">
        <v>34</v>
      </c>
      <c r="B216" s="7" t="s">
        <v>294</v>
      </c>
      <c r="C216" s="13" t="n">
        <v>732</v>
      </c>
      <c r="D216" s="8"/>
      <c r="E216" s="12" t="n">
        <f aca="false">RANK(C216,$C$5:$C$716)</f>
        <v>67</v>
      </c>
      <c r="F216" s="12" t="n">
        <f aca="false">COUNTIFS($A$5:$A$716,A216,$C$5:$C$716,"&gt;"&amp;C216)+1</f>
        <v>6</v>
      </c>
      <c r="G216" s="9" t="n">
        <f aca="false">C216/SUMIFS($C$5:$C$716,$A$5:$A$716,A216)</f>
        <v>0.0247163695299838</v>
      </c>
    </row>
    <row r="217" customFormat="false" ht="15" hidden="false" customHeight="false" outlineLevel="0" collapsed="false">
      <c r="A217" s="7" t="s">
        <v>34</v>
      </c>
      <c r="B217" s="7" t="s">
        <v>295</v>
      </c>
      <c r="C217" s="13" t="n">
        <v>580</v>
      </c>
      <c r="D217" s="8"/>
      <c r="E217" s="12" t="n">
        <f aca="false">RANK(C217,$C$5:$C$716)</f>
        <v>90</v>
      </c>
      <c r="F217" s="12" t="n">
        <f aca="false">COUNTIFS($A$5:$A$716,A217,$C$5:$C$716,"&gt;"&amp;C217)+1</f>
        <v>7</v>
      </c>
      <c r="G217" s="9" t="n">
        <f aca="false">C217/SUMIFS($C$5:$C$716,$A$5:$A$716,A217)</f>
        <v>0.0195840086439762</v>
      </c>
    </row>
    <row r="218" customFormat="false" ht="15" hidden="false" customHeight="false" outlineLevel="0" collapsed="false">
      <c r="A218" s="7" t="s">
        <v>34</v>
      </c>
      <c r="B218" s="7" t="s">
        <v>296</v>
      </c>
      <c r="C218" s="13" t="n">
        <v>428</v>
      </c>
      <c r="D218" s="8"/>
      <c r="E218" s="12" t="n">
        <f aca="false">RANK(C218,$C$5:$C$716)</f>
        <v>116</v>
      </c>
      <c r="F218" s="12" t="n">
        <f aca="false">COUNTIFS($A$5:$A$716,A218,$C$5:$C$716,"&gt;"&amp;C218)+1</f>
        <v>8</v>
      </c>
      <c r="G218" s="9" t="n">
        <f aca="false">C218/SUMIFS($C$5:$C$716,$A$5:$A$716,A218)</f>
        <v>0.0144516477579687</v>
      </c>
    </row>
    <row r="219" customFormat="false" ht="15" hidden="false" customHeight="false" outlineLevel="0" collapsed="false">
      <c r="A219" s="7" t="s">
        <v>34</v>
      </c>
      <c r="B219" s="7" t="s">
        <v>297</v>
      </c>
      <c r="C219" s="13" t="n">
        <v>425</v>
      </c>
      <c r="D219" s="8"/>
      <c r="E219" s="12" t="n">
        <f aca="false">RANK(C219,$C$5:$C$716)</f>
        <v>118</v>
      </c>
      <c r="F219" s="12" t="n">
        <f aca="false">COUNTIFS($A$5:$A$716,A219,$C$5:$C$716,"&gt;"&amp;C219)+1</f>
        <v>9</v>
      </c>
      <c r="G219" s="9" t="n">
        <f aca="false">C219/SUMIFS($C$5:$C$716,$A$5:$A$716,A219)</f>
        <v>0.0143503511615343</v>
      </c>
    </row>
    <row r="220" customFormat="false" ht="15" hidden="false" customHeight="false" outlineLevel="0" collapsed="false">
      <c r="A220" s="7" t="s">
        <v>34</v>
      </c>
      <c r="B220" s="7" t="s">
        <v>298</v>
      </c>
      <c r="C220" s="13" t="n">
        <v>401</v>
      </c>
      <c r="D220" s="8"/>
      <c r="E220" s="12" t="n">
        <f aca="false">RANK(C220,$C$5:$C$716)</f>
        <v>124</v>
      </c>
      <c r="F220" s="12" t="n">
        <f aca="false">COUNTIFS($A$5:$A$716,A220,$C$5:$C$716,"&gt;"&amp;C220)+1</f>
        <v>10</v>
      </c>
      <c r="G220" s="9" t="n">
        <f aca="false">C220/SUMIFS($C$5:$C$716,$A$5:$A$716,A220)</f>
        <v>0.0135399783900594</v>
      </c>
    </row>
    <row r="221" customFormat="false" ht="15" hidden="false" customHeight="false" outlineLevel="0" collapsed="false">
      <c r="A221" s="7" t="s">
        <v>34</v>
      </c>
      <c r="B221" s="7" t="s">
        <v>299</v>
      </c>
      <c r="C221" s="13" t="n">
        <v>388</v>
      </c>
      <c r="D221" s="8"/>
      <c r="E221" s="12" t="n">
        <f aca="false">RANK(C221,$C$5:$C$716)</f>
        <v>126</v>
      </c>
      <c r="F221" s="12" t="n">
        <f aca="false">COUNTIFS($A$5:$A$716,A221,$C$5:$C$716,"&gt;"&amp;C221)+1</f>
        <v>11</v>
      </c>
      <c r="G221" s="9" t="n">
        <f aca="false">C221/SUMIFS($C$5:$C$716,$A$5:$A$716,A221)</f>
        <v>0.0131010264721772</v>
      </c>
    </row>
    <row r="222" customFormat="false" ht="15" hidden="false" customHeight="false" outlineLevel="0" collapsed="false">
      <c r="A222" s="7" t="s">
        <v>34</v>
      </c>
      <c r="B222" s="7" t="s">
        <v>300</v>
      </c>
      <c r="C222" s="13" t="n">
        <v>387</v>
      </c>
      <c r="D222" s="8"/>
      <c r="E222" s="12" t="n">
        <f aca="false">RANK(C222,$C$5:$C$716)</f>
        <v>127</v>
      </c>
      <c r="F222" s="12" t="n">
        <f aca="false">COUNTIFS($A$5:$A$716,A222,$C$5:$C$716,"&gt;"&amp;C222)+1</f>
        <v>12</v>
      </c>
      <c r="G222" s="9" t="n">
        <f aca="false">C222/SUMIFS($C$5:$C$716,$A$5:$A$716,A222)</f>
        <v>0.0130672609400324</v>
      </c>
    </row>
    <row r="223" customFormat="false" ht="15" hidden="false" customHeight="false" outlineLevel="0" collapsed="false">
      <c r="A223" s="7" t="s">
        <v>34</v>
      </c>
      <c r="B223" s="7" t="s">
        <v>301</v>
      </c>
      <c r="C223" s="13" t="n">
        <v>329</v>
      </c>
      <c r="D223" s="8"/>
      <c r="E223" s="12" t="n">
        <f aca="false">RANK(C223,$C$5:$C$716)</f>
        <v>144</v>
      </c>
      <c r="F223" s="12" t="n">
        <f aca="false">COUNTIFS($A$5:$A$716,A223,$C$5:$C$716,"&gt;"&amp;C223)+1</f>
        <v>13</v>
      </c>
      <c r="G223" s="9" t="n">
        <f aca="false">C223/SUMIFS($C$5:$C$716,$A$5:$A$716,A223)</f>
        <v>0.0111088600756348</v>
      </c>
    </row>
    <row r="224" customFormat="false" ht="15" hidden="false" customHeight="false" outlineLevel="0" collapsed="false">
      <c r="A224" s="7" t="s">
        <v>34</v>
      </c>
      <c r="B224" s="7" t="s">
        <v>302</v>
      </c>
      <c r="C224" s="13" t="n">
        <v>289</v>
      </c>
      <c r="D224" s="8"/>
      <c r="E224" s="12" t="n">
        <f aca="false">RANK(C224,$C$5:$C$716)</f>
        <v>155</v>
      </c>
      <c r="F224" s="12" t="n">
        <f aca="false">COUNTIFS($A$5:$A$716,A224,$C$5:$C$716,"&gt;"&amp;C224)+1</f>
        <v>14</v>
      </c>
      <c r="G224" s="9" t="n">
        <f aca="false">C224/SUMIFS($C$5:$C$716,$A$5:$A$716,A224)</f>
        <v>0.00975823878984333</v>
      </c>
    </row>
    <row r="225" customFormat="false" ht="15" hidden="false" customHeight="false" outlineLevel="0" collapsed="false">
      <c r="A225" s="7" t="s">
        <v>34</v>
      </c>
      <c r="B225" s="7" t="s">
        <v>303</v>
      </c>
      <c r="C225" s="13" t="n">
        <v>268</v>
      </c>
      <c r="D225" s="8"/>
      <c r="E225" s="12" t="n">
        <f aca="false">RANK(C225,$C$5:$C$716)</f>
        <v>165</v>
      </c>
      <c r="F225" s="12" t="n">
        <f aca="false">COUNTIFS($A$5:$A$716,A225,$C$5:$C$716,"&gt;"&amp;C225)+1</f>
        <v>15</v>
      </c>
      <c r="G225" s="9" t="n">
        <f aca="false">C225/SUMIFS($C$5:$C$716,$A$5:$A$716,A225)</f>
        <v>0.00904916261480281</v>
      </c>
    </row>
    <row r="226" customFormat="false" ht="15" hidden="false" customHeight="false" outlineLevel="0" collapsed="false">
      <c r="A226" s="7" t="s">
        <v>34</v>
      </c>
      <c r="B226" s="7" t="s">
        <v>304</v>
      </c>
      <c r="C226" s="13" t="n">
        <v>262</v>
      </c>
      <c r="D226" s="8"/>
      <c r="E226" s="12" t="n">
        <f aca="false">RANK(C226,$C$5:$C$716)</f>
        <v>170</v>
      </c>
      <c r="F226" s="12" t="n">
        <f aca="false">COUNTIFS($A$5:$A$716,A226,$C$5:$C$716,"&gt;"&amp;C226)+1</f>
        <v>16</v>
      </c>
      <c r="G226" s="9" t="n">
        <f aca="false">C226/SUMIFS($C$5:$C$716,$A$5:$A$716,A226)</f>
        <v>0.00884656942193409</v>
      </c>
    </row>
    <row r="227" customFormat="false" ht="15" hidden="false" customHeight="false" outlineLevel="0" collapsed="false">
      <c r="A227" s="7" t="s">
        <v>34</v>
      </c>
      <c r="B227" s="7" t="s">
        <v>305</v>
      </c>
      <c r="C227" s="13" t="n">
        <v>226</v>
      </c>
      <c r="D227" s="8"/>
      <c r="E227" s="12" t="n">
        <f aca="false">RANK(C227,$C$5:$C$716)</f>
        <v>199</v>
      </c>
      <c r="F227" s="12" t="n">
        <f aca="false">COUNTIFS($A$5:$A$716,A227,$C$5:$C$716,"&gt;"&amp;C227)+1</f>
        <v>17</v>
      </c>
      <c r="G227" s="9" t="n">
        <f aca="false">C227/SUMIFS($C$5:$C$716,$A$5:$A$716,A227)</f>
        <v>0.00763101026472177</v>
      </c>
    </row>
    <row r="228" customFormat="false" ht="15" hidden="false" customHeight="false" outlineLevel="0" collapsed="false">
      <c r="A228" s="7" t="s">
        <v>34</v>
      </c>
      <c r="B228" s="7" t="s">
        <v>306</v>
      </c>
      <c r="C228" s="13" t="n">
        <v>210</v>
      </c>
      <c r="D228" s="8"/>
      <c r="E228" s="12" t="n">
        <f aca="false">RANK(C228,$C$5:$C$716)</f>
        <v>213</v>
      </c>
      <c r="F228" s="12" t="n">
        <f aca="false">COUNTIFS($A$5:$A$716,A228,$C$5:$C$716,"&gt;"&amp;C228)+1</f>
        <v>18</v>
      </c>
      <c r="G228" s="9" t="n">
        <f aca="false">C228/SUMIFS($C$5:$C$716,$A$5:$A$716,A228)</f>
        <v>0.00709076175040519</v>
      </c>
    </row>
    <row r="229" customFormat="false" ht="15" hidden="false" customHeight="false" outlineLevel="0" collapsed="false">
      <c r="A229" s="7" t="s">
        <v>34</v>
      </c>
      <c r="B229" s="7" t="s">
        <v>307</v>
      </c>
      <c r="C229" s="13" t="n">
        <v>206</v>
      </c>
      <c r="D229" s="8"/>
      <c r="E229" s="12" t="n">
        <f aca="false">RANK(C229,$C$5:$C$716)</f>
        <v>220</v>
      </c>
      <c r="F229" s="12" t="n">
        <f aca="false">COUNTIFS($A$5:$A$716,A229,$C$5:$C$716,"&gt;"&amp;C229)+1</f>
        <v>19</v>
      </c>
      <c r="G229" s="9" t="n">
        <f aca="false">C229/SUMIFS($C$5:$C$716,$A$5:$A$716,A229)</f>
        <v>0.00695569962182604</v>
      </c>
    </row>
    <row r="230" customFormat="false" ht="15" hidden="false" customHeight="false" outlineLevel="0" collapsed="false">
      <c r="A230" s="7" t="s">
        <v>34</v>
      </c>
      <c r="B230" s="7" t="s">
        <v>308</v>
      </c>
      <c r="C230" s="13" t="n">
        <v>168</v>
      </c>
      <c r="D230" s="8"/>
      <c r="E230" s="12" t="n">
        <f aca="false">RANK(C230,$C$5:$C$716)</f>
        <v>263</v>
      </c>
      <c r="F230" s="12" t="n">
        <f aca="false">COUNTIFS($A$5:$A$716,A230,$C$5:$C$716,"&gt;"&amp;C230)+1</f>
        <v>20</v>
      </c>
      <c r="G230" s="9" t="n">
        <f aca="false">C230/SUMIFS($C$5:$C$716,$A$5:$A$716,A230)</f>
        <v>0.00567260940032415</v>
      </c>
    </row>
    <row r="231" customFormat="false" ht="15" hidden="false" customHeight="false" outlineLevel="0" collapsed="false">
      <c r="A231" s="7" t="s">
        <v>34</v>
      </c>
      <c r="B231" s="7" t="s">
        <v>309</v>
      </c>
      <c r="C231" s="13" t="n">
        <v>165</v>
      </c>
      <c r="D231" s="8"/>
      <c r="E231" s="12" t="n">
        <f aca="false">RANK(C231,$C$5:$C$716)</f>
        <v>268</v>
      </c>
      <c r="F231" s="12" t="n">
        <f aca="false">COUNTIFS($A$5:$A$716,A231,$C$5:$C$716,"&gt;"&amp;C231)+1</f>
        <v>21</v>
      </c>
      <c r="G231" s="9" t="n">
        <f aca="false">C231/SUMIFS($C$5:$C$716,$A$5:$A$716,A231)</f>
        <v>0.00557131280388979</v>
      </c>
    </row>
    <row r="232" customFormat="false" ht="15" hidden="false" customHeight="false" outlineLevel="0" collapsed="false">
      <c r="A232" s="7" t="s">
        <v>34</v>
      </c>
      <c r="B232" s="7" t="s">
        <v>310</v>
      </c>
      <c r="C232" s="13" t="n">
        <v>155</v>
      </c>
      <c r="D232" s="8"/>
      <c r="E232" s="12" t="n">
        <f aca="false">RANK(C232,$C$5:$C$716)</f>
        <v>281</v>
      </c>
      <c r="F232" s="12" t="n">
        <f aca="false">COUNTIFS($A$5:$A$716,A232,$C$5:$C$716,"&gt;"&amp;C232)+1</f>
        <v>22</v>
      </c>
      <c r="G232" s="9" t="n">
        <f aca="false">C232/SUMIFS($C$5:$C$716,$A$5:$A$716,A232)</f>
        <v>0.00523365748244192</v>
      </c>
    </row>
    <row r="233" customFormat="false" ht="15" hidden="false" customHeight="false" outlineLevel="0" collapsed="false">
      <c r="A233" s="7" t="s">
        <v>34</v>
      </c>
      <c r="B233" s="7" t="s">
        <v>311</v>
      </c>
      <c r="C233" s="13" t="n">
        <v>143</v>
      </c>
      <c r="D233" s="8"/>
      <c r="E233" s="12" t="n">
        <f aca="false">RANK(C233,$C$5:$C$716)</f>
        <v>301</v>
      </c>
      <c r="F233" s="12" t="n">
        <f aca="false">COUNTIFS($A$5:$A$716,A233,$C$5:$C$716,"&gt;"&amp;C233)+1</f>
        <v>23</v>
      </c>
      <c r="G233" s="9" t="n">
        <f aca="false">C233/SUMIFS($C$5:$C$716,$A$5:$A$716,A233)</f>
        <v>0.00482847109670448</v>
      </c>
    </row>
    <row r="234" customFormat="false" ht="15" hidden="false" customHeight="false" outlineLevel="0" collapsed="false">
      <c r="A234" s="7" t="s">
        <v>34</v>
      </c>
      <c r="B234" s="7" t="s">
        <v>312</v>
      </c>
      <c r="C234" s="13" t="n">
        <v>133</v>
      </c>
      <c r="D234" s="8"/>
      <c r="E234" s="12" t="n">
        <f aca="false">RANK(C234,$C$5:$C$716)</f>
        <v>317</v>
      </c>
      <c r="F234" s="12" t="n">
        <f aca="false">COUNTIFS($A$5:$A$716,A234,$C$5:$C$716,"&gt;"&amp;C234)+1</f>
        <v>24</v>
      </c>
      <c r="G234" s="9" t="n">
        <f aca="false">C234/SUMIFS($C$5:$C$716,$A$5:$A$716,A234)</f>
        <v>0.00449081577525662</v>
      </c>
    </row>
    <row r="235" customFormat="false" ht="15" hidden="false" customHeight="false" outlineLevel="0" collapsed="false">
      <c r="A235" s="7" t="s">
        <v>34</v>
      </c>
      <c r="B235" s="7" t="s">
        <v>313</v>
      </c>
      <c r="C235" s="13" t="n">
        <v>122</v>
      </c>
      <c r="D235" s="8"/>
      <c r="E235" s="12" t="n">
        <f aca="false">RANK(C235,$C$5:$C$716)</f>
        <v>342</v>
      </c>
      <c r="F235" s="12" t="n">
        <f aca="false">COUNTIFS($A$5:$A$716,A235,$C$5:$C$716,"&gt;"&amp;C235)+1</f>
        <v>25</v>
      </c>
      <c r="G235" s="9" t="n">
        <f aca="false">C235/SUMIFS($C$5:$C$716,$A$5:$A$716,A235)</f>
        <v>0.00411939492166397</v>
      </c>
    </row>
    <row r="236" customFormat="false" ht="15" hidden="false" customHeight="false" outlineLevel="0" collapsed="false">
      <c r="A236" s="7" t="s">
        <v>34</v>
      </c>
      <c r="B236" s="7" t="s">
        <v>314</v>
      </c>
      <c r="C236" s="13" t="n">
        <v>118</v>
      </c>
      <c r="D236" s="8"/>
      <c r="E236" s="12" t="n">
        <f aca="false">RANK(C236,$C$5:$C$716)</f>
        <v>352</v>
      </c>
      <c r="F236" s="12" t="n">
        <f aca="false">COUNTIFS($A$5:$A$716,A236,$C$5:$C$716,"&gt;"&amp;C236)+1</f>
        <v>26</v>
      </c>
      <c r="G236" s="9" t="n">
        <f aca="false">C236/SUMIFS($C$5:$C$716,$A$5:$A$716,A236)</f>
        <v>0.00398433279308482</v>
      </c>
    </row>
    <row r="237" customFormat="false" ht="15" hidden="false" customHeight="false" outlineLevel="0" collapsed="false">
      <c r="A237" s="7" t="s">
        <v>34</v>
      </c>
      <c r="B237" s="7" t="s">
        <v>315</v>
      </c>
      <c r="C237" s="13" t="n">
        <v>117</v>
      </c>
      <c r="D237" s="8"/>
      <c r="E237" s="12" t="n">
        <f aca="false">RANK(C237,$C$5:$C$716)</f>
        <v>355</v>
      </c>
      <c r="F237" s="12" t="n">
        <f aca="false">COUNTIFS($A$5:$A$716,A237,$C$5:$C$716,"&gt;"&amp;C237)+1</f>
        <v>27</v>
      </c>
      <c r="G237" s="9" t="n">
        <f aca="false">C237/SUMIFS($C$5:$C$716,$A$5:$A$716,A237)</f>
        <v>0.00395056726094003</v>
      </c>
    </row>
    <row r="238" customFormat="false" ht="15" hidden="false" customHeight="false" outlineLevel="0" collapsed="false">
      <c r="A238" s="7" t="s">
        <v>34</v>
      </c>
      <c r="B238" s="7" t="s">
        <v>316</v>
      </c>
      <c r="C238" s="13" t="n">
        <v>117</v>
      </c>
      <c r="D238" s="8"/>
      <c r="E238" s="12" t="n">
        <f aca="false">RANK(C238,$C$5:$C$716)</f>
        <v>355</v>
      </c>
      <c r="F238" s="12" t="n">
        <f aca="false">COUNTIFS($A$5:$A$716,A238,$C$5:$C$716,"&gt;"&amp;C238)+1</f>
        <v>27</v>
      </c>
      <c r="G238" s="9" t="n">
        <f aca="false">C238/SUMIFS($C$5:$C$716,$A$5:$A$716,A238)</f>
        <v>0.00395056726094003</v>
      </c>
    </row>
    <row r="239" customFormat="false" ht="15" hidden="false" customHeight="false" outlineLevel="0" collapsed="false">
      <c r="A239" s="7" t="s">
        <v>34</v>
      </c>
      <c r="B239" s="7" t="s">
        <v>317</v>
      </c>
      <c r="C239" s="13" t="n">
        <v>105</v>
      </c>
      <c r="D239" s="8"/>
      <c r="E239" s="12" t="n">
        <f aca="false">RANK(C239,$C$5:$C$716)</f>
        <v>383</v>
      </c>
      <c r="F239" s="12" t="n">
        <f aca="false">COUNTIFS($A$5:$A$716,A239,$C$5:$C$716,"&gt;"&amp;C239)+1</f>
        <v>29</v>
      </c>
      <c r="G239" s="9" t="n">
        <f aca="false">C239/SUMIFS($C$5:$C$716,$A$5:$A$716,A239)</f>
        <v>0.00354538087520259</v>
      </c>
    </row>
    <row r="240" customFormat="false" ht="15" hidden="false" customHeight="false" outlineLevel="0" collapsed="false">
      <c r="A240" s="7" t="s">
        <v>34</v>
      </c>
      <c r="B240" s="7" t="s">
        <v>318</v>
      </c>
      <c r="C240" s="13" t="n">
        <v>69</v>
      </c>
      <c r="D240" s="8"/>
      <c r="E240" s="12" t="n">
        <f aca="false">RANK(C240,$C$5:$C$716)</f>
        <v>492</v>
      </c>
      <c r="F240" s="12" t="n">
        <f aca="false">COUNTIFS($A$5:$A$716,A240,$C$5:$C$716,"&gt;"&amp;C240)+1</f>
        <v>30</v>
      </c>
      <c r="G240" s="9" t="n">
        <f aca="false">C240/SUMIFS($C$5:$C$716,$A$5:$A$716,A240)</f>
        <v>0.00232982171799028</v>
      </c>
    </row>
    <row r="241" customFormat="false" ht="15" hidden="false" customHeight="false" outlineLevel="0" collapsed="false">
      <c r="A241" s="7" t="s">
        <v>34</v>
      </c>
      <c r="B241" s="7" t="s">
        <v>319</v>
      </c>
      <c r="C241" s="13" t="n">
        <v>63</v>
      </c>
      <c r="D241" s="8"/>
      <c r="E241" s="12" t="n">
        <f aca="false">RANK(C241,$C$5:$C$716)</f>
        <v>511</v>
      </c>
      <c r="F241" s="12" t="n">
        <f aca="false">COUNTIFS($A$5:$A$716,A241,$C$5:$C$716,"&gt;"&amp;C241)+1</f>
        <v>31</v>
      </c>
      <c r="G241" s="9" t="n">
        <f aca="false">C241/SUMIFS($C$5:$C$716,$A$5:$A$716,A241)</f>
        <v>0.00212722852512156</v>
      </c>
    </row>
    <row r="242" customFormat="false" ht="15" hidden="false" customHeight="false" outlineLevel="0" collapsed="false">
      <c r="A242" s="7" t="s">
        <v>34</v>
      </c>
      <c r="B242" s="7" t="s">
        <v>320</v>
      </c>
      <c r="C242" s="13" t="n">
        <v>54</v>
      </c>
      <c r="D242" s="8"/>
      <c r="E242" s="12" t="n">
        <f aca="false">RANK(C242,$C$5:$C$716)</f>
        <v>540</v>
      </c>
      <c r="F242" s="12" t="n">
        <f aca="false">COUNTIFS($A$5:$A$716,A242,$C$5:$C$716,"&gt;"&amp;C242)+1</f>
        <v>32</v>
      </c>
      <c r="G242" s="9" t="n">
        <f aca="false">C242/SUMIFS($C$5:$C$716,$A$5:$A$716,A242)</f>
        <v>0.00182333873581848</v>
      </c>
    </row>
    <row r="243" customFormat="false" ht="15" hidden="false" customHeight="false" outlineLevel="0" collapsed="false">
      <c r="A243" s="7" t="s">
        <v>34</v>
      </c>
      <c r="B243" s="7" t="s">
        <v>321</v>
      </c>
      <c r="C243" s="13" t="n">
        <v>50</v>
      </c>
      <c r="D243" s="8"/>
      <c r="E243" s="12" t="n">
        <f aca="false">RANK(C243,$C$5:$C$716)</f>
        <v>555</v>
      </c>
      <c r="F243" s="12" t="n">
        <f aca="false">COUNTIFS($A$5:$A$716,A243,$C$5:$C$716,"&gt;"&amp;C243)+1</f>
        <v>33</v>
      </c>
      <c r="G243" s="9" t="n">
        <f aca="false">C243/SUMIFS($C$5:$C$716,$A$5:$A$716,A243)</f>
        <v>0.00168827660723933</v>
      </c>
    </row>
    <row r="244" customFormat="false" ht="15" hidden="false" customHeight="false" outlineLevel="0" collapsed="false">
      <c r="A244" s="7" t="s">
        <v>34</v>
      </c>
      <c r="B244" s="7" t="s">
        <v>322</v>
      </c>
      <c r="C244" s="13" t="n">
        <v>48</v>
      </c>
      <c r="D244" s="8"/>
      <c r="E244" s="12" t="n">
        <f aca="false">RANK(C244,$C$5:$C$716)</f>
        <v>570</v>
      </c>
      <c r="F244" s="12" t="n">
        <f aca="false">COUNTIFS($A$5:$A$716,A244,$C$5:$C$716,"&gt;"&amp;C244)+1</f>
        <v>34</v>
      </c>
      <c r="G244" s="9" t="n">
        <f aca="false">C244/SUMIFS($C$5:$C$716,$A$5:$A$716,A244)</f>
        <v>0.00162074554294976</v>
      </c>
    </row>
    <row r="245" customFormat="false" ht="15" hidden="false" customHeight="false" outlineLevel="0" collapsed="false">
      <c r="A245" s="7" t="s">
        <v>34</v>
      </c>
      <c r="B245" s="7" t="s">
        <v>323</v>
      </c>
      <c r="C245" s="13" t="n">
        <v>47</v>
      </c>
      <c r="D245" s="8"/>
      <c r="E245" s="12" t="n">
        <f aca="false">RANK(C245,$C$5:$C$716)</f>
        <v>575</v>
      </c>
      <c r="F245" s="12" t="n">
        <f aca="false">COUNTIFS($A$5:$A$716,A245,$C$5:$C$716,"&gt;"&amp;C245)+1</f>
        <v>35</v>
      </c>
      <c r="G245" s="9" t="n">
        <f aca="false">C245/SUMIFS($C$5:$C$716,$A$5:$A$716,A245)</f>
        <v>0.00158698001080497</v>
      </c>
    </row>
    <row r="246" customFormat="false" ht="15" hidden="false" customHeight="false" outlineLevel="0" collapsed="false">
      <c r="A246" s="7" t="s">
        <v>34</v>
      </c>
      <c r="B246" s="7" t="s">
        <v>324</v>
      </c>
      <c r="C246" s="13" t="n">
        <v>46</v>
      </c>
      <c r="D246" s="8"/>
      <c r="E246" s="12" t="n">
        <f aca="false">RANK(C246,$C$5:$C$716)</f>
        <v>580</v>
      </c>
      <c r="F246" s="12" t="n">
        <f aca="false">COUNTIFS($A$5:$A$716,A246,$C$5:$C$716,"&gt;"&amp;C246)+1</f>
        <v>36</v>
      </c>
      <c r="G246" s="9" t="n">
        <f aca="false">C246/SUMIFS($C$5:$C$716,$A$5:$A$716,A246)</f>
        <v>0.00155321447866018</v>
      </c>
    </row>
    <row r="247" customFormat="false" ht="15" hidden="false" customHeight="false" outlineLevel="0" collapsed="false">
      <c r="A247" s="7" t="s">
        <v>34</v>
      </c>
      <c r="B247" s="7" t="s">
        <v>325</v>
      </c>
      <c r="C247" s="13" t="n">
        <v>45</v>
      </c>
      <c r="D247" s="8"/>
      <c r="E247" s="12" t="n">
        <f aca="false">RANK(C247,$C$5:$C$716)</f>
        <v>586</v>
      </c>
      <c r="F247" s="12" t="n">
        <f aca="false">COUNTIFS($A$5:$A$716,A247,$C$5:$C$716,"&gt;"&amp;C247)+1</f>
        <v>37</v>
      </c>
      <c r="G247" s="9" t="n">
        <f aca="false">C247/SUMIFS($C$5:$C$716,$A$5:$A$716,A247)</f>
        <v>0.0015194489465154</v>
      </c>
    </row>
    <row r="248" customFormat="false" ht="15" hidden="false" customHeight="false" outlineLevel="0" collapsed="false">
      <c r="A248" s="7" t="s">
        <v>34</v>
      </c>
      <c r="B248" s="7" t="s">
        <v>326</v>
      </c>
      <c r="C248" s="13" t="n">
        <v>39</v>
      </c>
      <c r="D248" s="8"/>
      <c r="E248" s="12" t="n">
        <f aca="false">RANK(C248,$C$5:$C$716)</f>
        <v>623</v>
      </c>
      <c r="F248" s="12" t="n">
        <f aca="false">COUNTIFS($A$5:$A$716,A248,$C$5:$C$716,"&gt;"&amp;C248)+1</f>
        <v>38</v>
      </c>
      <c r="G248" s="9" t="n">
        <f aca="false">C248/SUMIFS($C$5:$C$716,$A$5:$A$716,A248)</f>
        <v>0.00131685575364668</v>
      </c>
    </row>
    <row r="249" customFormat="false" ht="15" hidden="false" customHeight="false" outlineLevel="0" collapsed="false">
      <c r="A249" s="7" t="s">
        <v>34</v>
      </c>
      <c r="B249" s="7" t="s">
        <v>327</v>
      </c>
      <c r="C249" s="13" t="n">
        <v>36</v>
      </c>
      <c r="D249" s="8"/>
      <c r="E249" s="12" t="n">
        <f aca="false">RANK(C249,$C$5:$C$716)</f>
        <v>639</v>
      </c>
      <c r="F249" s="12" t="n">
        <f aca="false">COUNTIFS($A$5:$A$716,A249,$C$5:$C$716,"&gt;"&amp;C249)+1</f>
        <v>39</v>
      </c>
      <c r="G249" s="9" t="n">
        <f aca="false">C249/SUMIFS($C$5:$C$716,$A$5:$A$716,A249)</f>
        <v>0.00121555915721232</v>
      </c>
    </row>
    <row r="250" customFormat="false" ht="15" hidden="false" customHeight="false" outlineLevel="0" collapsed="false">
      <c r="A250" s="7" t="s">
        <v>34</v>
      </c>
      <c r="B250" s="7" t="s">
        <v>328</v>
      </c>
      <c r="C250" s="13" t="n">
        <v>33</v>
      </c>
      <c r="D250" s="8"/>
      <c r="E250" s="12" t="n">
        <f aca="false">RANK(C250,$C$5:$C$716)</f>
        <v>661</v>
      </c>
      <c r="F250" s="12" t="n">
        <f aca="false">COUNTIFS($A$5:$A$716,A250,$C$5:$C$716,"&gt;"&amp;C250)+1</f>
        <v>40</v>
      </c>
      <c r="G250" s="9" t="n">
        <f aca="false">C250/SUMIFS($C$5:$C$716,$A$5:$A$716,A250)</f>
        <v>0.00111426256077796</v>
      </c>
    </row>
    <row r="251" customFormat="false" ht="15" hidden="false" customHeight="false" outlineLevel="0" collapsed="false">
      <c r="A251" s="7" t="s">
        <v>34</v>
      </c>
      <c r="B251" s="7" t="s">
        <v>329</v>
      </c>
      <c r="C251" s="13" t="n">
        <v>31</v>
      </c>
      <c r="D251" s="8"/>
      <c r="E251" s="12" t="n">
        <f aca="false">RANK(C251,$C$5:$C$716)</f>
        <v>673</v>
      </c>
      <c r="F251" s="12" t="n">
        <f aca="false">COUNTIFS($A$5:$A$716,A251,$C$5:$C$716,"&gt;"&amp;C251)+1</f>
        <v>41</v>
      </c>
      <c r="G251" s="9" t="n">
        <f aca="false">C251/SUMIFS($C$5:$C$716,$A$5:$A$716,A251)</f>
        <v>0.00104673149648838</v>
      </c>
    </row>
    <row r="252" customFormat="false" ht="15" hidden="false" customHeight="false" outlineLevel="0" collapsed="false">
      <c r="A252" s="7" t="s">
        <v>34</v>
      </c>
      <c r="B252" s="7" t="s">
        <v>330</v>
      </c>
      <c r="C252" s="13" t="n">
        <v>27</v>
      </c>
      <c r="D252" s="8"/>
      <c r="E252" s="12" t="n">
        <f aca="false">RANK(C252,$C$5:$C$716)</f>
        <v>700</v>
      </c>
      <c r="F252" s="12" t="n">
        <f aca="false">COUNTIFS($A$5:$A$716,A252,$C$5:$C$716,"&gt;"&amp;C252)+1</f>
        <v>42</v>
      </c>
      <c r="G252" s="9" t="n">
        <f aca="false">C252/SUMIFS($C$5:$C$716,$A$5:$A$716,A252)</f>
        <v>0.000911669367909238</v>
      </c>
    </row>
    <row r="253" customFormat="false" ht="15" hidden="false" customHeight="false" outlineLevel="0" collapsed="false">
      <c r="A253" s="7" t="s">
        <v>35</v>
      </c>
      <c r="B253" s="7" t="s">
        <v>331</v>
      </c>
      <c r="C253" s="13" t="n">
        <v>20860</v>
      </c>
      <c r="D253" s="13" t="n">
        <v>11739</v>
      </c>
      <c r="E253" s="12" t="n">
        <f aca="false">RANK(C253,$C$5:$C$716)</f>
        <v>4</v>
      </c>
      <c r="F253" s="12" t="n">
        <f aca="false">COUNTIFS($A$5:$A$716,A253,$C$5:$C$716,"&gt;"&amp;C253)+1</f>
        <v>1</v>
      </c>
      <c r="G253" s="9" t="n">
        <f aca="false">C253/SUMIFS($C$5:$C$716,$A$5:$A$716,A253)</f>
        <v>0.900846432889964</v>
      </c>
    </row>
    <row r="254" customFormat="false" ht="15" hidden="false" customHeight="false" outlineLevel="0" collapsed="false">
      <c r="A254" s="7" t="s">
        <v>35</v>
      </c>
      <c r="B254" s="7" t="s">
        <v>332</v>
      </c>
      <c r="C254" s="13" t="n">
        <v>460</v>
      </c>
      <c r="D254" s="8"/>
      <c r="E254" s="12" t="n">
        <f aca="false">RANK(C254,$C$5:$C$716)</f>
        <v>113</v>
      </c>
      <c r="F254" s="12" t="n">
        <f aca="false">COUNTIFS($A$5:$A$716,A254,$C$5:$C$716,"&gt;"&amp;C254)+1</f>
        <v>2</v>
      </c>
      <c r="G254" s="9" t="n">
        <f aca="false">C254/SUMIFS($C$5:$C$716,$A$5:$A$716,A254)</f>
        <v>0.0198652617032303</v>
      </c>
    </row>
    <row r="255" customFormat="false" ht="15" hidden="false" customHeight="false" outlineLevel="0" collapsed="false">
      <c r="A255" s="7" t="s">
        <v>35</v>
      </c>
      <c r="B255" s="7" t="s">
        <v>333</v>
      </c>
      <c r="C255" s="13" t="n">
        <v>300</v>
      </c>
      <c r="D255" s="8"/>
      <c r="E255" s="12" t="n">
        <f aca="false">RANK(C255,$C$5:$C$716)</f>
        <v>150</v>
      </c>
      <c r="F255" s="12" t="n">
        <f aca="false">COUNTIFS($A$5:$A$716,A255,$C$5:$C$716,"&gt;"&amp;C255)+1</f>
        <v>3</v>
      </c>
      <c r="G255" s="9" t="n">
        <f aca="false">C255/SUMIFS($C$5:$C$716,$A$5:$A$716,A255)</f>
        <v>0.0129556054586284</v>
      </c>
    </row>
    <row r="256" customFormat="false" ht="15" hidden="false" customHeight="false" outlineLevel="0" collapsed="false">
      <c r="A256" s="7" t="s">
        <v>35</v>
      </c>
      <c r="B256" s="7" t="s">
        <v>334</v>
      </c>
      <c r="C256" s="13" t="n">
        <v>233</v>
      </c>
      <c r="D256" s="8"/>
      <c r="E256" s="12" t="n">
        <f aca="false">RANK(C256,$C$5:$C$716)</f>
        <v>192</v>
      </c>
      <c r="F256" s="12" t="n">
        <f aca="false">COUNTIFS($A$5:$A$716,A256,$C$5:$C$716,"&gt;"&amp;C256)+1</f>
        <v>4</v>
      </c>
      <c r="G256" s="9" t="n">
        <f aca="false">C256/SUMIFS($C$5:$C$716,$A$5:$A$716,A256)</f>
        <v>0.0100621869062014</v>
      </c>
    </row>
    <row r="257" customFormat="false" ht="15" hidden="false" customHeight="false" outlineLevel="0" collapsed="false">
      <c r="A257" s="7" t="s">
        <v>35</v>
      </c>
      <c r="B257" s="7" t="s">
        <v>335</v>
      </c>
      <c r="C257" s="13" t="n">
        <v>227</v>
      </c>
      <c r="D257" s="8"/>
      <c r="E257" s="12" t="n">
        <f aca="false">RANK(C257,$C$5:$C$716)</f>
        <v>197</v>
      </c>
      <c r="F257" s="12" t="n">
        <f aca="false">COUNTIFS($A$5:$A$716,A257,$C$5:$C$716,"&gt;"&amp;C257)+1</f>
        <v>5</v>
      </c>
      <c r="G257" s="9" t="n">
        <f aca="false">C257/SUMIFS($C$5:$C$716,$A$5:$A$716,A257)</f>
        <v>0.00980307479702885</v>
      </c>
    </row>
    <row r="258" customFormat="false" ht="15" hidden="false" customHeight="false" outlineLevel="0" collapsed="false">
      <c r="A258" s="7" t="s">
        <v>35</v>
      </c>
      <c r="B258" s="7" t="s">
        <v>336</v>
      </c>
      <c r="C258" s="13" t="n">
        <v>205</v>
      </c>
      <c r="D258" s="8"/>
      <c r="E258" s="12" t="n">
        <f aca="false">RANK(C258,$C$5:$C$716)</f>
        <v>223</v>
      </c>
      <c r="F258" s="12" t="n">
        <f aca="false">COUNTIFS($A$5:$A$716,A258,$C$5:$C$716,"&gt;"&amp;C258)+1</f>
        <v>6</v>
      </c>
      <c r="G258" s="9" t="n">
        <f aca="false">C258/SUMIFS($C$5:$C$716,$A$5:$A$716,A258)</f>
        <v>0.0088529970633961</v>
      </c>
    </row>
    <row r="259" customFormat="false" ht="15" hidden="false" customHeight="false" outlineLevel="0" collapsed="false">
      <c r="A259" s="7" t="s">
        <v>35</v>
      </c>
      <c r="B259" s="7" t="s">
        <v>337</v>
      </c>
      <c r="C259" s="13" t="n">
        <v>153</v>
      </c>
      <c r="D259" s="8"/>
      <c r="E259" s="12" t="n">
        <f aca="false">RANK(C259,$C$5:$C$716)</f>
        <v>284</v>
      </c>
      <c r="F259" s="12" t="n">
        <f aca="false">COUNTIFS($A$5:$A$716,A259,$C$5:$C$716,"&gt;"&amp;C259)+1</f>
        <v>7</v>
      </c>
      <c r="G259" s="9" t="n">
        <f aca="false">C259/SUMIFS($C$5:$C$716,$A$5:$A$716,A259)</f>
        <v>0.0066073587839005</v>
      </c>
    </row>
    <row r="260" customFormat="false" ht="15" hidden="false" customHeight="false" outlineLevel="0" collapsed="false">
      <c r="A260" s="7" t="s">
        <v>35</v>
      </c>
      <c r="B260" s="7" t="s">
        <v>338</v>
      </c>
      <c r="C260" s="13" t="n">
        <v>128</v>
      </c>
      <c r="D260" s="8"/>
      <c r="E260" s="12" t="n">
        <f aca="false">RANK(C260,$C$5:$C$716)</f>
        <v>329</v>
      </c>
      <c r="F260" s="12" t="n">
        <f aca="false">COUNTIFS($A$5:$A$716,A260,$C$5:$C$716,"&gt;"&amp;C260)+1</f>
        <v>8</v>
      </c>
      <c r="G260" s="9" t="n">
        <f aca="false">C260/SUMIFS($C$5:$C$716,$A$5:$A$716,A260)</f>
        <v>0.00552772499568147</v>
      </c>
    </row>
    <row r="261" customFormat="false" ht="15" hidden="false" customHeight="false" outlineLevel="0" collapsed="false">
      <c r="A261" s="7" t="s">
        <v>35</v>
      </c>
      <c r="B261" s="7" t="s">
        <v>339</v>
      </c>
      <c r="C261" s="13" t="n">
        <v>119</v>
      </c>
      <c r="D261" s="8"/>
      <c r="E261" s="12" t="n">
        <f aca="false">RANK(C261,$C$5:$C$716)</f>
        <v>349</v>
      </c>
      <c r="F261" s="12" t="n">
        <f aca="false">COUNTIFS($A$5:$A$716,A261,$C$5:$C$716,"&gt;"&amp;C261)+1</f>
        <v>9</v>
      </c>
      <c r="G261" s="9" t="n">
        <f aca="false">C261/SUMIFS($C$5:$C$716,$A$5:$A$716,A261)</f>
        <v>0.00513905683192261</v>
      </c>
    </row>
    <row r="262" customFormat="false" ht="15" hidden="false" customHeight="false" outlineLevel="0" collapsed="false">
      <c r="A262" s="7" t="s">
        <v>35</v>
      </c>
      <c r="B262" s="7" t="s">
        <v>340</v>
      </c>
      <c r="C262" s="13" t="n">
        <v>95</v>
      </c>
      <c r="D262" s="8"/>
      <c r="E262" s="12" t="n">
        <f aca="false">RANK(C262,$C$5:$C$716)</f>
        <v>408</v>
      </c>
      <c r="F262" s="12" t="n">
        <f aca="false">COUNTIFS($A$5:$A$716,A262,$C$5:$C$716,"&gt;"&amp;C262)+1</f>
        <v>10</v>
      </c>
      <c r="G262" s="9" t="n">
        <f aca="false">C262/SUMIFS($C$5:$C$716,$A$5:$A$716,A262)</f>
        <v>0.00410260839523234</v>
      </c>
    </row>
    <row r="263" customFormat="false" ht="15" hidden="false" customHeight="false" outlineLevel="0" collapsed="false">
      <c r="A263" s="7" t="s">
        <v>35</v>
      </c>
      <c r="B263" s="7" t="s">
        <v>341</v>
      </c>
      <c r="C263" s="13" t="n">
        <v>60</v>
      </c>
      <c r="D263" s="8"/>
      <c r="E263" s="12" t="n">
        <f aca="false">RANK(C263,$C$5:$C$716)</f>
        <v>521</v>
      </c>
      <c r="F263" s="12" t="n">
        <f aca="false">COUNTIFS($A$5:$A$716,A263,$C$5:$C$716,"&gt;"&amp;C263)+1</f>
        <v>11</v>
      </c>
      <c r="G263" s="9" t="n">
        <f aca="false">C263/SUMIFS($C$5:$C$716,$A$5:$A$716,A263)</f>
        <v>0.00259112109172569</v>
      </c>
    </row>
    <row r="264" customFormat="false" ht="15" hidden="false" customHeight="false" outlineLevel="0" collapsed="false">
      <c r="A264" s="7" t="s">
        <v>35</v>
      </c>
      <c r="B264" s="7" t="s">
        <v>342</v>
      </c>
      <c r="C264" s="13" t="n">
        <v>59</v>
      </c>
      <c r="D264" s="8"/>
      <c r="E264" s="12" t="n">
        <f aca="false">RANK(C264,$C$5:$C$716)</f>
        <v>526</v>
      </c>
      <c r="F264" s="12" t="n">
        <f aca="false">COUNTIFS($A$5:$A$716,A264,$C$5:$C$716,"&gt;"&amp;C264)+1</f>
        <v>12</v>
      </c>
      <c r="G264" s="9" t="n">
        <f aca="false">C264/SUMIFS($C$5:$C$716,$A$5:$A$716,A264)</f>
        <v>0.00254793574019693</v>
      </c>
    </row>
    <row r="265" customFormat="false" ht="15" hidden="false" customHeight="false" outlineLevel="0" collapsed="false">
      <c r="A265" s="7" t="s">
        <v>35</v>
      </c>
      <c r="B265" s="7" t="s">
        <v>343</v>
      </c>
      <c r="C265" s="13" t="n">
        <v>45</v>
      </c>
      <c r="D265" s="8"/>
      <c r="E265" s="12" t="n">
        <f aca="false">RANK(C265,$C$5:$C$716)</f>
        <v>586</v>
      </c>
      <c r="F265" s="12" t="n">
        <f aca="false">COUNTIFS($A$5:$A$716,A265,$C$5:$C$716,"&gt;"&amp;C265)+1</f>
        <v>13</v>
      </c>
      <c r="G265" s="9" t="n">
        <f aca="false">C265/SUMIFS($C$5:$C$716,$A$5:$A$716,A265)</f>
        <v>0.00194334081879427</v>
      </c>
    </row>
    <row r="266" customFormat="false" ht="15" hidden="false" customHeight="false" outlineLevel="0" collapsed="false">
      <c r="A266" s="7" t="s">
        <v>35</v>
      </c>
      <c r="B266" s="7" t="s">
        <v>344</v>
      </c>
      <c r="C266" s="13" t="n">
        <v>45</v>
      </c>
      <c r="D266" s="8"/>
      <c r="E266" s="12" t="n">
        <f aca="false">RANK(C266,$C$5:$C$716)</f>
        <v>586</v>
      </c>
      <c r="F266" s="12" t="n">
        <f aca="false">COUNTIFS($A$5:$A$716,A266,$C$5:$C$716,"&gt;"&amp;C266)+1</f>
        <v>13</v>
      </c>
      <c r="G266" s="9" t="n">
        <f aca="false">C266/SUMIFS($C$5:$C$716,$A$5:$A$716,A266)</f>
        <v>0.00194334081879427</v>
      </c>
    </row>
    <row r="267" customFormat="false" ht="15" hidden="false" customHeight="false" outlineLevel="0" collapsed="false">
      <c r="A267" s="7" t="s">
        <v>35</v>
      </c>
      <c r="B267" s="7" t="s">
        <v>345</v>
      </c>
      <c r="C267" s="13" t="n">
        <v>40</v>
      </c>
      <c r="D267" s="8"/>
      <c r="E267" s="12" t="n">
        <f aca="false">RANK(C267,$C$5:$C$716)</f>
        <v>615</v>
      </c>
      <c r="F267" s="12" t="n">
        <f aca="false">COUNTIFS($A$5:$A$716,A267,$C$5:$C$716,"&gt;"&amp;C267)+1</f>
        <v>15</v>
      </c>
      <c r="G267" s="9" t="n">
        <f aca="false">C267/SUMIFS($C$5:$C$716,$A$5:$A$716,A267)</f>
        <v>0.00172741406115046</v>
      </c>
    </row>
    <row r="268" customFormat="false" ht="15" hidden="false" customHeight="false" outlineLevel="0" collapsed="false">
      <c r="A268" s="7" t="s">
        <v>35</v>
      </c>
      <c r="B268" s="7" t="s">
        <v>346</v>
      </c>
      <c r="C268" s="13" t="n">
        <v>36</v>
      </c>
      <c r="D268" s="8"/>
      <c r="E268" s="12" t="n">
        <f aca="false">RANK(C268,$C$5:$C$716)</f>
        <v>639</v>
      </c>
      <c r="F268" s="12" t="n">
        <f aca="false">COUNTIFS($A$5:$A$716,A268,$C$5:$C$716,"&gt;"&amp;C268)+1</f>
        <v>16</v>
      </c>
      <c r="G268" s="9" t="n">
        <f aca="false">C268/SUMIFS($C$5:$C$716,$A$5:$A$716,A268)</f>
        <v>0.00155467265503541</v>
      </c>
    </row>
    <row r="269" customFormat="false" ht="15" hidden="false" customHeight="false" outlineLevel="0" collapsed="false">
      <c r="A269" s="7" t="s">
        <v>35</v>
      </c>
      <c r="B269" s="7" t="s">
        <v>347</v>
      </c>
      <c r="C269" s="13" t="n">
        <v>35</v>
      </c>
      <c r="D269" s="8"/>
      <c r="E269" s="12" t="n">
        <f aca="false">RANK(C269,$C$5:$C$716)</f>
        <v>647</v>
      </c>
      <c r="F269" s="12" t="n">
        <f aca="false">COUNTIFS($A$5:$A$716,A269,$C$5:$C$716,"&gt;"&amp;C269)+1</f>
        <v>17</v>
      </c>
      <c r="G269" s="9" t="n">
        <f aca="false">C269/SUMIFS($C$5:$C$716,$A$5:$A$716,A269)</f>
        <v>0.00151148730350665</v>
      </c>
    </row>
    <row r="270" customFormat="false" ht="15" hidden="false" customHeight="false" outlineLevel="0" collapsed="false">
      <c r="A270" s="7" t="s">
        <v>35</v>
      </c>
      <c r="B270" s="7" t="s">
        <v>348</v>
      </c>
      <c r="C270" s="13" t="n">
        <v>30</v>
      </c>
      <c r="D270" s="8"/>
      <c r="E270" s="12" t="n">
        <f aca="false">RANK(C270,$C$5:$C$716)</f>
        <v>683</v>
      </c>
      <c r="F270" s="12" t="n">
        <f aca="false">COUNTIFS($A$5:$A$716,A270,$C$5:$C$716,"&gt;"&amp;C270)+1</f>
        <v>18</v>
      </c>
      <c r="G270" s="9" t="n">
        <f aca="false">C270/SUMIFS($C$5:$C$716,$A$5:$A$716,A270)</f>
        <v>0.00129556054586284</v>
      </c>
    </row>
    <row r="271" customFormat="false" ht="15" hidden="false" customHeight="false" outlineLevel="0" collapsed="false">
      <c r="A271" s="7" t="s">
        <v>35</v>
      </c>
      <c r="B271" s="7" t="s">
        <v>349</v>
      </c>
      <c r="C271" s="13" t="n">
        <v>26</v>
      </c>
      <c r="D271" s="8"/>
      <c r="E271" s="12" t="n">
        <f aca="false">RANK(C271,$C$5:$C$716)</f>
        <v>703</v>
      </c>
      <c r="F271" s="12" t="n">
        <f aca="false">COUNTIFS($A$5:$A$716,A271,$C$5:$C$716,"&gt;"&amp;C271)+1</f>
        <v>19</v>
      </c>
      <c r="G271" s="9" t="n">
        <f aca="false">C271/SUMIFS($C$5:$C$716,$A$5:$A$716,A271)</f>
        <v>0.0011228191397478</v>
      </c>
    </row>
    <row r="272" customFormat="false" ht="15" hidden="false" customHeight="false" outlineLevel="0" collapsed="false">
      <c r="A272" s="7" t="s">
        <v>36</v>
      </c>
      <c r="B272" s="7" t="s">
        <v>350</v>
      </c>
      <c r="C272" s="13" t="n">
        <v>10448</v>
      </c>
      <c r="D272" s="13" t="n">
        <v>6462</v>
      </c>
      <c r="E272" s="12" t="n">
        <f aca="false">RANK(C272,$C$5:$C$716)</f>
        <v>10</v>
      </c>
      <c r="F272" s="12" t="n">
        <f aca="false">COUNTIFS($A$5:$A$716,A272,$C$5:$C$716,"&gt;"&amp;C272)+1</f>
        <v>1</v>
      </c>
      <c r="G272" s="9" t="n">
        <f aca="false">C272/SUMIFS($C$5:$C$716,$A$5:$A$716,A272)</f>
        <v>0.502573476357689</v>
      </c>
    </row>
    <row r="273" customFormat="false" ht="15" hidden="false" customHeight="false" outlineLevel="0" collapsed="false">
      <c r="A273" s="7" t="s">
        <v>36</v>
      </c>
      <c r="B273" s="7" t="s">
        <v>351</v>
      </c>
      <c r="C273" s="13" t="n">
        <v>3250</v>
      </c>
      <c r="D273" s="8"/>
      <c r="E273" s="12" t="n">
        <f aca="false">RANK(C273,$C$5:$C$716)</f>
        <v>23</v>
      </c>
      <c r="F273" s="12" t="n">
        <f aca="false">COUNTIFS($A$5:$A$716,A273,$C$5:$C$716,"&gt;"&amp;C273)+1</f>
        <v>2</v>
      </c>
      <c r="G273" s="9" t="n">
        <f aca="false">C273/SUMIFS($C$5:$C$716,$A$5:$A$716,A273)</f>
        <v>0.156332675934388</v>
      </c>
    </row>
    <row r="274" customFormat="false" ht="15" hidden="false" customHeight="false" outlineLevel="0" collapsed="false">
      <c r="A274" s="7" t="s">
        <v>36</v>
      </c>
      <c r="B274" s="7" t="s">
        <v>352</v>
      </c>
      <c r="C274" s="13" t="n">
        <v>783</v>
      </c>
      <c r="D274" s="8"/>
      <c r="E274" s="12" t="n">
        <f aca="false">RANK(C274,$C$5:$C$716)</f>
        <v>65</v>
      </c>
      <c r="F274" s="12" t="n">
        <f aca="false">COUNTIFS($A$5:$A$716,A274,$C$5:$C$716,"&gt;"&amp;C274)+1</f>
        <v>3</v>
      </c>
      <c r="G274" s="9" t="n">
        <f aca="false">C274/SUMIFS($C$5:$C$716,$A$5:$A$716,A274)</f>
        <v>0.0376641493097311</v>
      </c>
    </row>
    <row r="275" customFormat="false" ht="15" hidden="false" customHeight="false" outlineLevel="0" collapsed="false">
      <c r="A275" s="7" t="s">
        <v>36</v>
      </c>
      <c r="B275" s="7" t="s">
        <v>353</v>
      </c>
      <c r="C275" s="13" t="n">
        <v>721</v>
      </c>
      <c r="D275" s="8"/>
      <c r="E275" s="12" t="n">
        <f aca="false">RANK(C275,$C$5:$C$716)</f>
        <v>69</v>
      </c>
      <c r="F275" s="12" t="n">
        <f aca="false">COUNTIFS($A$5:$A$716,A275,$C$5:$C$716,"&gt;"&amp;C275)+1</f>
        <v>4</v>
      </c>
      <c r="G275" s="9" t="n">
        <f aca="false">C275/SUMIFS($C$5:$C$716,$A$5:$A$716,A275)</f>
        <v>0.0346818028765212</v>
      </c>
    </row>
    <row r="276" customFormat="false" ht="15" hidden="false" customHeight="false" outlineLevel="0" collapsed="false">
      <c r="A276" s="7" t="s">
        <v>36</v>
      </c>
      <c r="B276" s="7" t="s">
        <v>354</v>
      </c>
      <c r="C276" s="13" t="n">
        <v>715</v>
      </c>
      <c r="D276" s="8"/>
      <c r="E276" s="12" t="n">
        <f aca="false">RANK(C276,$C$5:$C$716)</f>
        <v>70</v>
      </c>
      <c r="F276" s="12" t="n">
        <f aca="false">COUNTIFS($A$5:$A$716,A276,$C$5:$C$716,"&gt;"&amp;C276)+1</f>
        <v>5</v>
      </c>
      <c r="G276" s="9" t="n">
        <f aca="false">C276/SUMIFS($C$5:$C$716,$A$5:$A$716,A276)</f>
        <v>0.0343931887055654</v>
      </c>
    </row>
    <row r="277" customFormat="false" ht="15" hidden="false" customHeight="false" outlineLevel="0" collapsed="false">
      <c r="A277" s="7" t="s">
        <v>36</v>
      </c>
      <c r="B277" s="7" t="s">
        <v>355</v>
      </c>
      <c r="C277" s="13" t="n">
        <v>689</v>
      </c>
      <c r="D277" s="8"/>
      <c r="E277" s="12" t="n">
        <f aca="false">RANK(C277,$C$5:$C$716)</f>
        <v>77</v>
      </c>
      <c r="F277" s="12" t="n">
        <f aca="false">COUNTIFS($A$5:$A$716,A277,$C$5:$C$716,"&gt;"&amp;C277)+1</f>
        <v>6</v>
      </c>
      <c r="G277" s="9" t="n">
        <f aca="false">C277/SUMIFS($C$5:$C$716,$A$5:$A$716,A277)</f>
        <v>0.0331425272980903</v>
      </c>
    </row>
    <row r="278" customFormat="false" ht="15" hidden="false" customHeight="false" outlineLevel="0" collapsed="false">
      <c r="A278" s="7" t="s">
        <v>36</v>
      </c>
      <c r="B278" s="7" t="s">
        <v>356</v>
      </c>
      <c r="C278" s="13" t="n">
        <v>621</v>
      </c>
      <c r="D278" s="8"/>
      <c r="E278" s="12" t="n">
        <f aca="false">RANK(C278,$C$5:$C$716)</f>
        <v>85</v>
      </c>
      <c r="F278" s="12" t="n">
        <f aca="false">COUNTIFS($A$5:$A$716,A278,$C$5:$C$716,"&gt;"&amp;C278)+1</f>
        <v>7</v>
      </c>
      <c r="G278" s="9" t="n">
        <f aca="false">C278/SUMIFS($C$5:$C$716,$A$5:$A$716,A278)</f>
        <v>0.0298715666939247</v>
      </c>
    </row>
    <row r="279" customFormat="false" ht="15" hidden="false" customHeight="false" outlineLevel="0" collapsed="false">
      <c r="A279" s="7" t="s">
        <v>36</v>
      </c>
      <c r="B279" s="7" t="s">
        <v>357</v>
      </c>
      <c r="C279" s="13" t="n">
        <v>552</v>
      </c>
      <c r="D279" s="8"/>
      <c r="E279" s="12" t="n">
        <f aca="false">RANK(C279,$C$5:$C$716)</f>
        <v>97</v>
      </c>
      <c r="F279" s="12" t="n">
        <f aca="false">COUNTIFS($A$5:$A$716,A279,$C$5:$C$716,"&gt;"&amp;C279)+1</f>
        <v>8</v>
      </c>
      <c r="G279" s="9" t="n">
        <f aca="false">C279/SUMIFS($C$5:$C$716,$A$5:$A$716,A279)</f>
        <v>0.026552503727933</v>
      </c>
    </row>
    <row r="280" customFormat="false" ht="15" hidden="false" customHeight="false" outlineLevel="0" collapsed="false">
      <c r="A280" s="7" t="s">
        <v>36</v>
      </c>
      <c r="B280" s="7" t="s">
        <v>358</v>
      </c>
      <c r="C280" s="13" t="n">
        <v>486</v>
      </c>
      <c r="D280" s="8"/>
      <c r="E280" s="12" t="n">
        <f aca="false">RANK(C280,$C$5:$C$716)</f>
        <v>111</v>
      </c>
      <c r="F280" s="12" t="n">
        <f aca="false">COUNTIFS($A$5:$A$716,A280,$C$5:$C$716,"&gt;"&amp;C280)+1</f>
        <v>9</v>
      </c>
      <c r="G280" s="9" t="n">
        <f aca="false">C280/SUMIFS($C$5:$C$716,$A$5:$A$716,A280)</f>
        <v>0.0233777478474193</v>
      </c>
    </row>
    <row r="281" customFormat="false" ht="15" hidden="false" customHeight="false" outlineLevel="0" collapsed="false">
      <c r="A281" s="7" t="s">
        <v>36</v>
      </c>
      <c r="B281" s="7" t="s">
        <v>359</v>
      </c>
      <c r="C281" s="13" t="n">
        <v>339</v>
      </c>
      <c r="D281" s="8"/>
      <c r="E281" s="12" t="n">
        <f aca="false">RANK(C281,$C$5:$C$716)</f>
        <v>140</v>
      </c>
      <c r="F281" s="12" t="n">
        <f aca="false">COUNTIFS($A$5:$A$716,A281,$C$5:$C$716,"&gt;"&amp;C281)+1</f>
        <v>10</v>
      </c>
      <c r="G281" s="9" t="n">
        <f aca="false">C281/SUMIFS($C$5:$C$716,$A$5:$A$716,A281)</f>
        <v>0.0163067006590024</v>
      </c>
    </row>
    <row r="282" customFormat="false" ht="15" hidden="false" customHeight="false" outlineLevel="0" collapsed="false">
      <c r="A282" s="7" t="s">
        <v>36</v>
      </c>
      <c r="B282" s="7" t="s">
        <v>360</v>
      </c>
      <c r="C282" s="13" t="n">
        <v>290</v>
      </c>
      <c r="D282" s="8"/>
      <c r="E282" s="12" t="n">
        <f aca="false">RANK(C282,$C$5:$C$716)</f>
        <v>153</v>
      </c>
      <c r="F282" s="12" t="n">
        <f aca="false">COUNTIFS($A$5:$A$716,A282,$C$5:$C$716,"&gt;"&amp;C282)+1</f>
        <v>11</v>
      </c>
      <c r="G282" s="9" t="n">
        <f aca="false">C282/SUMIFS($C$5:$C$716,$A$5:$A$716,A282)</f>
        <v>0.01394968492953</v>
      </c>
    </row>
    <row r="283" customFormat="false" ht="15" hidden="false" customHeight="false" outlineLevel="0" collapsed="false">
      <c r="A283" s="7" t="s">
        <v>36</v>
      </c>
      <c r="B283" s="7" t="s">
        <v>361</v>
      </c>
      <c r="C283" s="13" t="n">
        <v>244</v>
      </c>
      <c r="D283" s="8"/>
      <c r="E283" s="12" t="n">
        <f aca="false">RANK(C283,$C$5:$C$716)</f>
        <v>182</v>
      </c>
      <c r="F283" s="12" t="n">
        <f aca="false">COUNTIFS($A$5:$A$716,A283,$C$5:$C$716,"&gt;"&amp;C283)+1</f>
        <v>12</v>
      </c>
      <c r="G283" s="9" t="n">
        <f aca="false">C283/SUMIFS($C$5:$C$716,$A$5:$A$716,A283)</f>
        <v>0.0117369762855356</v>
      </c>
    </row>
    <row r="284" customFormat="false" ht="15" hidden="false" customHeight="false" outlineLevel="0" collapsed="false">
      <c r="A284" s="7" t="s">
        <v>36</v>
      </c>
      <c r="B284" s="7" t="s">
        <v>362</v>
      </c>
      <c r="C284" s="13" t="n">
        <v>242</v>
      </c>
      <c r="D284" s="8"/>
      <c r="E284" s="12" t="n">
        <f aca="false">RANK(C284,$C$5:$C$716)</f>
        <v>185</v>
      </c>
      <c r="F284" s="12" t="n">
        <f aca="false">COUNTIFS($A$5:$A$716,A284,$C$5:$C$716,"&gt;"&amp;C284)+1</f>
        <v>13</v>
      </c>
      <c r="G284" s="9" t="n">
        <f aca="false">C284/SUMIFS($C$5:$C$716,$A$5:$A$716,A284)</f>
        <v>0.0116407715618837</v>
      </c>
    </row>
    <row r="285" customFormat="false" ht="15" hidden="false" customHeight="false" outlineLevel="0" collapsed="false">
      <c r="A285" s="7" t="s">
        <v>36</v>
      </c>
      <c r="B285" s="7" t="s">
        <v>363</v>
      </c>
      <c r="C285" s="13" t="n">
        <v>227</v>
      </c>
      <c r="D285" s="8"/>
      <c r="E285" s="12" t="n">
        <f aca="false">RANK(C285,$C$5:$C$716)</f>
        <v>197</v>
      </c>
      <c r="F285" s="12" t="n">
        <f aca="false">COUNTIFS($A$5:$A$716,A285,$C$5:$C$716,"&gt;"&amp;C285)+1</f>
        <v>14</v>
      </c>
      <c r="G285" s="9" t="n">
        <f aca="false">C285/SUMIFS($C$5:$C$716,$A$5:$A$716,A285)</f>
        <v>0.0109192361344942</v>
      </c>
    </row>
    <row r="286" customFormat="false" ht="15" hidden="false" customHeight="false" outlineLevel="0" collapsed="false">
      <c r="A286" s="7" t="s">
        <v>36</v>
      </c>
      <c r="B286" s="7" t="s">
        <v>364</v>
      </c>
      <c r="C286" s="13" t="n">
        <v>203</v>
      </c>
      <c r="D286" s="8"/>
      <c r="E286" s="12" t="n">
        <f aca="false">RANK(C286,$C$5:$C$716)</f>
        <v>225</v>
      </c>
      <c r="F286" s="12" t="n">
        <f aca="false">COUNTIFS($A$5:$A$716,A286,$C$5:$C$716,"&gt;"&amp;C286)+1</f>
        <v>15</v>
      </c>
      <c r="G286" s="9" t="n">
        <f aca="false">C286/SUMIFS($C$5:$C$716,$A$5:$A$716,A286)</f>
        <v>0.00976477945067103</v>
      </c>
    </row>
    <row r="287" customFormat="false" ht="15" hidden="false" customHeight="false" outlineLevel="0" collapsed="false">
      <c r="A287" s="7" t="s">
        <v>36</v>
      </c>
      <c r="B287" s="7" t="s">
        <v>365</v>
      </c>
      <c r="C287" s="13" t="n">
        <v>200</v>
      </c>
      <c r="D287" s="8"/>
      <c r="E287" s="12" t="n">
        <f aca="false">RANK(C287,$C$5:$C$716)</f>
        <v>231</v>
      </c>
      <c r="F287" s="12" t="n">
        <f aca="false">COUNTIFS($A$5:$A$716,A287,$C$5:$C$716,"&gt;"&amp;C287)+1</f>
        <v>16</v>
      </c>
      <c r="G287" s="9" t="n">
        <f aca="false">C287/SUMIFS($C$5:$C$716,$A$5:$A$716,A287)</f>
        <v>0.00962047236519313</v>
      </c>
    </row>
    <row r="288" customFormat="false" ht="15" hidden="false" customHeight="false" outlineLevel="0" collapsed="false">
      <c r="A288" s="7" t="s">
        <v>36</v>
      </c>
      <c r="B288" s="7" t="s">
        <v>366</v>
      </c>
      <c r="C288" s="13" t="n">
        <v>150</v>
      </c>
      <c r="D288" s="8"/>
      <c r="E288" s="12" t="n">
        <f aca="false">RANK(C288,$C$5:$C$716)</f>
        <v>289</v>
      </c>
      <c r="F288" s="12" t="n">
        <f aca="false">COUNTIFS($A$5:$A$716,A288,$C$5:$C$716,"&gt;"&amp;C288)+1</f>
        <v>17</v>
      </c>
      <c r="G288" s="9" t="n">
        <f aca="false">C288/SUMIFS($C$5:$C$716,$A$5:$A$716,A288)</f>
        <v>0.00721535427389485</v>
      </c>
    </row>
    <row r="289" customFormat="false" ht="15" hidden="false" customHeight="false" outlineLevel="0" collapsed="false">
      <c r="A289" s="7" t="s">
        <v>36</v>
      </c>
      <c r="B289" s="7" t="s">
        <v>367</v>
      </c>
      <c r="C289" s="13" t="n">
        <v>148</v>
      </c>
      <c r="D289" s="8"/>
      <c r="E289" s="12" t="n">
        <f aca="false">RANK(C289,$C$5:$C$716)</f>
        <v>295</v>
      </c>
      <c r="F289" s="12" t="n">
        <f aca="false">COUNTIFS($A$5:$A$716,A289,$C$5:$C$716,"&gt;"&amp;C289)+1</f>
        <v>18</v>
      </c>
      <c r="G289" s="9" t="n">
        <f aca="false">C289/SUMIFS($C$5:$C$716,$A$5:$A$716,A289)</f>
        <v>0.00711914955024292</v>
      </c>
    </row>
    <row r="290" customFormat="false" ht="15" hidden="false" customHeight="false" outlineLevel="0" collapsed="false">
      <c r="A290" s="7" t="s">
        <v>36</v>
      </c>
      <c r="B290" s="7" t="s">
        <v>368</v>
      </c>
      <c r="C290" s="13" t="n">
        <v>125</v>
      </c>
      <c r="D290" s="8"/>
      <c r="E290" s="12" t="n">
        <f aca="false">RANK(C290,$C$5:$C$716)</f>
        <v>335</v>
      </c>
      <c r="F290" s="12" t="n">
        <f aca="false">COUNTIFS($A$5:$A$716,A290,$C$5:$C$716,"&gt;"&amp;C290)+1</f>
        <v>19</v>
      </c>
      <c r="G290" s="9" t="n">
        <f aca="false">C290/SUMIFS($C$5:$C$716,$A$5:$A$716,A290)</f>
        <v>0.00601279522824571</v>
      </c>
    </row>
    <row r="291" customFormat="false" ht="15" hidden="false" customHeight="false" outlineLevel="0" collapsed="false">
      <c r="A291" s="7" t="s">
        <v>36</v>
      </c>
      <c r="B291" s="7" t="s">
        <v>369</v>
      </c>
      <c r="C291" s="13" t="n">
        <v>115</v>
      </c>
      <c r="D291" s="8"/>
      <c r="E291" s="12" t="n">
        <f aca="false">RANK(C291,$C$5:$C$716)</f>
        <v>359</v>
      </c>
      <c r="F291" s="12" t="n">
        <f aca="false">COUNTIFS($A$5:$A$716,A291,$C$5:$C$716,"&gt;"&amp;C291)+1</f>
        <v>20</v>
      </c>
      <c r="G291" s="9" t="n">
        <f aca="false">C291/SUMIFS($C$5:$C$716,$A$5:$A$716,A291)</f>
        <v>0.00553177160998605</v>
      </c>
    </row>
    <row r="292" customFormat="false" ht="15" hidden="false" customHeight="false" outlineLevel="0" collapsed="false">
      <c r="A292" s="7" t="s">
        <v>36</v>
      </c>
      <c r="B292" s="7" t="s">
        <v>370</v>
      </c>
      <c r="C292" s="13" t="n">
        <v>98</v>
      </c>
      <c r="D292" s="8"/>
      <c r="E292" s="12" t="n">
        <f aca="false">RANK(C292,$C$5:$C$716)</f>
        <v>401</v>
      </c>
      <c r="F292" s="12" t="n">
        <f aca="false">COUNTIFS($A$5:$A$716,A292,$C$5:$C$716,"&gt;"&amp;C292)+1</f>
        <v>21</v>
      </c>
      <c r="G292" s="9" t="n">
        <f aca="false">C292/SUMIFS($C$5:$C$716,$A$5:$A$716,A292)</f>
        <v>0.00471403145894463</v>
      </c>
    </row>
    <row r="293" customFormat="false" ht="15" hidden="false" customHeight="false" outlineLevel="0" collapsed="false">
      <c r="A293" s="7" t="s">
        <v>36</v>
      </c>
      <c r="B293" s="7" t="s">
        <v>371</v>
      </c>
      <c r="C293" s="13" t="n">
        <v>51</v>
      </c>
      <c r="D293" s="8"/>
      <c r="E293" s="12" t="n">
        <f aca="false">RANK(C293,$C$5:$C$716)</f>
        <v>550</v>
      </c>
      <c r="F293" s="12" t="n">
        <f aca="false">COUNTIFS($A$5:$A$716,A293,$C$5:$C$716,"&gt;"&amp;C293)+1</f>
        <v>22</v>
      </c>
      <c r="G293" s="9" t="n">
        <f aca="false">C293/SUMIFS($C$5:$C$716,$A$5:$A$716,A293)</f>
        <v>0.00245322045312425</v>
      </c>
    </row>
    <row r="294" customFormat="false" ht="15" hidden="false" customHeight="false" outlineLevel="0" collapsed="false">
      <c r="A294" s="7" t="s">
        <v>36</v>
      </c>
      <c r="B294" s="7" t="s">
        <v>372</v>
      </c>
      <c r="C294" s="13" t="n">
        <v>35</v>
      </c>
      <c r="D294" s="8"/>
      <c r="E294" s="12" t="n">
        <f aca="false">RANK(C294,$C$5:$C$716)</f>
        <v>647</v>
      </c>
      <c r="F294" s="12" t="n">
        <f aca="false">COUNTIFS($A$5:$A$716,A294,$C$5:$C$716,"&gt;"&amp;C294)+1</f>
        <v>23</v>
      </c>
      <c r="G294" s="9" t="n">
        <f aca="false">C294/SUMIFS($C$5:$C$716,$A$5:$A$716,A294)</f>
        <v>0.0016835826639088</v>
      </c>
    </row>
    <row r="295" customFormat="false" ht="15" hidden="false" customHeight="false" outlineLevel="0" collapsed="false">
      <c r="A295" s="7" t="s">
        <v>36</v>
      </c>
      <c r="B295" s="7" t="s">
        <v>373</v>
      </c>
      <c r="C295" s="13" t="n">
        <v>32</v>
      </c>
      <c r="D295" s="8"/>
      <c r="E295" s="12" t="n">
        <f aca="false">RANK(C295,$C$5:$C$716)</f>
        <v>668</v>
      </c>
      <c r="F295" s="12" t="n">
        <f aca="false">COUNTIFS($A$5:$A$716,A295,$C$5:$C$716,"&gt;"&amp;C295)+1</f>
        <v>24</v>
      </c>
      <c r="G295" s="9" t="n">
        <f aca="false">C295/SUMIFS($C$5:$C$716,$A$5:$A$716,A295)</f>
        <v>0.0015392755784309</v>
      </c>
    </row>
    <row r="296" customFormat="false" ht="15" hidden="false" customHeight="false" outlineLevel="0" collapsed="false">
      <c r="A296" s="7" t="s">
        <v>36</v>
      </c>
      <c r="B296" s="7" t="s">
        <v>374</v>
      </c>
      <c r="C296" s="13" t="n">
        <v>25</v>
      </c>
      <c r="D296" s="8"/>
      <c r="E296" s="12" t="n">
        <f aca="false">RANK(C296,$C$5:$C$716)</f>
        <v>708</v>
      </c>
      <c r="F296" s="12" t="n">
        <f aca="false">COUNTIFS($A$5:$A$716,A296,$C$5:$C$716,"&gt;"&amp;C296)+1</f>
        <v>25</v>
      </c>
      <c r="G296" s="9" t="n">
        <f aca="false">C296/SUMIFS($C$5:$C$716,$A$5:$A$716,A296)</f>
        <v>0.00120255904564914</v>
      </c>
    </row>
    <row r="297" customFormat="false" ht="15" hidden="false" customHeight="false" outlineLevel="0" collapsed="false">
      <c r="A297" s="7" t="s">
        <v>38</v>
      </c>
      <c r="B297" s="7" t="s">
        <v>375</v>
      </c>
      <c r="C297" s="13" t="n">
        <v>9551</v>
      </c>
      <c r="D297" s="13" t="n">
        <v>4491</v>
      </c>
      <c r="E297" s="12" t="n">
        <f aca="false">RANK(C297,$C$5:$C$716)</f>
        <v>11</v>
      </c>
      <c r="F297" s="12" t="n">
        <f aca="false">COUNTIFS($A$5:$A$716,A297,$C$5:$C$716,"&gt;"&amp;C297)+1</f>
        <v>1</v>
      </c>
      <c r="G297" s="9" t="n">
        <f aca="false">C297/SUMIFS($C$5:$C$716,$A$5:$A$716,A297)</f>
        <v>0.511569362613819</v>
      </c>
    </row>
    <row r="298" customFormat="false" ht="15" hidden="false" customHeight="false" outlineLevel="0" collapsed="false">
      <c r="A298" s="7" t="s">
        <v>38</v>
      </c>
      <c r="B298" s="7" t="s">
        <v>376</v>
      </c>
      <c r="C298" s="13" t="n">
        <v>1525</v>
      </c>
      <c r="D298" s="8"/>
      <c r="E298" s="12" t="n">
        <f aca="false">RANK(C298,$C$5:$C$716)</f>
        <v>37</v>
      </c>
      <c r="F298" s="12" t="n">
        <f aca="false">COUNTIFS($A$5:$A$716,A298,$C$5:$C$716,"&gt;"&amp;C298)+1</f>
        <v>2</v>
      </c>
      <c r="G298" s="9" t="n">
        <f aca="false">C298/SUMIFS($C$5:$C$716,$A$5:$A$716,A298)</f>
        <v>0.08168184252812</v>
      </c>
    </row>
    <row r="299" customFormat="false" ht="15" hidden="false" customHeight="false" outlineLevel="0" collapsed="false">
      <c r="A299" s="7" t="s">
        <v>38</v>
      </c>
      <c r="B299" s="7" t="s">
        <v>377</v>
      </c>
      <c r="C299" s="13" t="n">
        <v>1250</v>
      </c>
      <c r="D299" s="8"/>
      <c r="E299" s="12" t="n">
        <f aca="false">RANK(C299,$C$5:$C$716)</f>
        <v>43</v>
      </c>
      <c r="F299" s="12" t="n">
        <f aca="false">COUNTIFS($A$5:$A$716,A299,$C$5:$C$716,"&gt;"&amp;C299)+1</f>
        <v>3</v>
      </c>
      <c r="G299" s="9" t="n">
        <f aca="false">C299/SUMIFS($C$5:$C$716,$A$5:$A$716,A299)</f>
        <v>0.066952329941082</v>
      </c>
    </row>
    <row r="300" customFormat="false" ht="15" hidden="false" customHeight="false" outlineLevel="0" collapsed="false">
      <c r="A300" s="7" t="s">
        <v>38</v>
      </c>
      <c r="B300" s="7" t="s">
        <v>378</v>
      </c>
      <c r="C300" s="13" t="n">
        <v>993</v>
      </c>
      <c r="D300" s="8"/>
      <c r="E300" s="12" t="n">
        <f aca="false">RANK(C300,$C$5:$C$716)</f>
        <v>51</v>
      </c>
      <c r="F300" s="12" t="n">
        <f aca="false">COUNTIFS($A$5:$A$716,A300,$C$5:$C$716,"&gt;"&amp;C300)+1</f>
        <v>4</v>
      </c>
      <c r="G300" s="9" t="n">
        <f aca="false">C300/SUMIFS($C$5:$C$716,$A$5:$A$716,A300)</f>
        <v>0.0531869309051955</v>
      </c>
    </row>
    <row r="301" customFormat="false" ht="15" hidden="false" customHeight="false" outlineLevel="0" collapsed="false">
      <c r="A301" s="7" t="s">
        <v>38</v>
      </c>
      <c r="B301" s="7" t="s">
        <v>379</v>
      </c>
      <c r="C301" s="13" t="n">
        <v>693</v>
      </c>
      <c r="D301" s="8"/>
      <c r="E301" s="12" t="n">
        <f aca="false">RANK(C301,$C$5:$C$716)</f>
        <v>75</v>
      </c>
      <c r="F301" s="12" t="n">
        <f aca="false">COUNTIFS($A$5:$A$716,A301,$C$5:$C$716,"&gt;"&amp;C301)+1</f>
        <v>5</v>
      </c>
      <c r="G301" s="9" t="n">
        <f aca="false">C301/SUMIFS($C$5:$C$716,$A$5:$A$716,A301)</f>
        <v>0.0371183717193358</v>
      </c>
    </row>
    <row r="302" customFormat="false" ht="15" hidden="false" customHeight="false" outlineLevel="0" collapsed="false">
      <c r="A302" s="7" t="s">
        <v>38</v>
      </c>
      <c r="B302" s="7" t="s">
        <v>380</v>
      </c>
      <c r="C302" s="13" t="n">
        <v>692</v>
      </c>
      <c r="D302" s="8"/>
      <c r="E302" s="12" t="n">
        <f aca="false">RANK(C302,$C$5:$C$716)</f>
        <v>76</v>
      </c>
      <c r="F302" s="12" t="n">
        <f aca="false">COUNTIFS($A$5:$A$716,A302,$C$5:$C$716,"&gt;"&amp;C302)+1</f>
        <v>6</v>
      </c>
      <c r="G302" s="9" t="n">
        <f aca="false">C302/SUMIFS($C$5:$C$716,$A$5:$A$716,A302)</f>
        <v>0.037064809855383</v>
      </c>
    </row>
    <row r="303" customFormat="false" ht="15" hidden="false" customHeight="false" outlineLevel="0" collapsed="false">
      <c r="A303" s="7" t="s">
        <v>38</v>
      </c>
      <c r="B303" s="7" t="s">
        <v>381</v>
      </c>
      <c r="C303" s="13" t="n">
        <v>494</v>
      </c>
      <c r="D303" s="8"/>
      <c r="E303" s="12" t="n">
        <f aca="false">RANK(C303,$C$5:$C$716)</f>
        <v>107</v>
      </c>
      <c r="F303" s="12" t="n">
        <f aca="false">COUNTIFS($A$5:$A$716,A303,$C$5:$C$716,"&gt;"&amp;C303)+1</f>
        <v>7</v>
      </c>
      <c r="G303" s="9" t="n">
        <f aca="false">C303/SUMIFS($C$5:$C$716,$A$5:$A$716,A303)</f>
        <v>0.0264595607927156</v>
      </c>
    </row>
    <row r="304" customFormat="false" ht="15" hidden="false" customHeight="false" outlineLevel="0" collapsed="false">
      <c r="A304" s="7" t="s">
        <v>38</v>
      </c>
      <c r="B304" s="7" t="s">
        <v>382</v>
      </c>
      <c r="C304" s="13" t="n">
        <v>347</v>
      </c>
      <c r="D304" s="8"/>
      <c r="E304" s="12" t="n">
        <f aca="false">RANK(C304,$C$5:$C$716)</f>
        <v>138</v>
      </c>
      <c r="F304" s="12" t="n">
        <f aca="false">COUNTIFS($A$5:$A$716,A304,$C$5:$C$716,"&gt;"&amp;C304)+1</f>
        <v>8</v>
      </c>
      <c r="G304" s="9" t="n">
        <f aca="false">C304/SUMIFS($C$5:$C$716,$A$5:$A$716,A304)</f>
        <v>0.0185859667916444</v>
      </c>
    </row>
    <row r="305" customFormat="false" ht="15" hidden="false" customHeight="false" outlineLevel="0" collapsed="false">
      <c r="A305" s="7" t="s">
        <v>38</v>
      </c>
      <c r="B305" s="7" t="s">
        <v>383</v>
      </c>
      <c r="C305" s="13" t="n">
        <v>279</v>
      </c>
      <c r="D305" s="8"/>
      <c r="E305" s="12" t="n">
        <f aca="false">RANK(C305,$C$5:$C$716)</f>
        <v>158</v>
      </c>
      <c r="F305" s="12" t="n">
        <f aca="false">COUNTIFS($A$5:$A$716,A305,$C$5:$C$716,"&gt;"&amp;C305)+1</f>
        <v>9</v>
      </c>
      <c r="G305" s="9" t="n">
        <f aca="false">C305/SUMIFS($C$5:$C$716,$A$5:$A$716,A305)</f>
        <v>0.0149437600428495</v>
      </c>
    </row>
    <row r="306" customFormat="false" ht="15" hidden="false" customHeight="false" outlineLevel="0" collapsed="false">
      <c r="A306" s="7" t="s">
        <v>38</v>
      </c>
      <c r="B306" s="7" t="s">
        <v>384</v>
      </c>
      <c r="C306" s="13" t="n">
        <v>262</v>
      </c>
      <c r="D306" s="8"/>
      <c r="E306" s="12" t="n">
        <f aca="false">RANK(C306,$C$5:$C$716)</f>
        <v>170</v>
      </c>
      <c r="F306" s="12" t="n">
        <f aca="false">COUNTIFS($A$5:$A$716,A306,$C$5:$C$716,"&gt;"&amp;C306)+1</f>
        <v>10</v>
      </c>
      <c r="G306" s="9" t="n">
        <f aca="false">C306/SUMIFS($C$5:$C$716,$A$5:$A$716,A306)</f>
        <v>0.0140332083556508</v>
      </c>
    </row>
    <row r="307" customFormat="false" ht="15" hidden="false" customHeight="false" outlineLevel="0" collapsed="false">
      <c r="A307" s="7" t="s">
        <v>38</v>
      </c>
      <c r="B307" s="7" t="s">
        <v>385</v>
      </c>
      <c r="C307" s="13" t="n">
        <v>210</v>
      </c>
      <c r="D307" s="8"/>
      <c r="E307" s="12" t="n">
        <f aca="false">RANK(C307,$C$5:$C$716)</f>
        <v>213</v>
      </c>
      <c r="F307" s="12" t="n">
        <f aca="false">COUNTIFS($A$5:$A$716,A307,$C$5:$C$716,"&gt;"&amp;C307)+1</f>
        <v>11</v>
      </c>
      <c r="G307" s="9" t="n">
        <f aca="false">C307/SUMIFS($C$5:$C$716,$A$5:$A$716,A307)</f>
        <v>0.0112479914301018</v>
      </c>
    </row>
    <row r="308" customFormat="false" ht="15" hidden="false" customHeight="false" outlineLevel="0" collapsed="false">
      <c r="A308" s="7" t="s">
        <v>38</v>
      </c>
      <c r="B308" s="7" t="s">
        <v>386</v>
      </c>
      <c r="C308" s="13" t="n">
        <v>202</v>
      </c>
      <c r="D308" s="8"/>
      <c r="E308" s="12" t="n">
        <f aca="false">RANK(C308,$C$5:$C$716)</f>
        <v>228</v>
      </c>
      <c r="F308" s="12" t="n">
        <f aca="false">COUNTIFS($A$5:$A$716,A308,$C$5:$C$716,"&gt;"&amp;C308)+1</f>
        <v>12</v>
      </c>
      <c r="G308" s="9" t="n">
        <f aca="false">C308/SUMIFS($C$5:$C$716,$A$5:$A$716,A308)</f>
        <v>0.0108194965184788</v>
      </c>
    </row>
    <row r="309" customFormat="false" ht="15" hidden="false" customHeight="false" outlineLevel="0" collapsed="false">
      <c r="A309" s="7" t="s">
        <v>38</v>
      </c>
      <c r="B309" s="7" t="s">
        <v>387</v>
      </c>
      <c r="C309" s="13" t="n">
        <v>201</v>
      </c>
      <c r="D309" s="8"/>
      <c r="E309" s="12" t="n">
        <f aca="false">RANK(C309,$C$5:$C$716)</f>
        <v>230</v>
      </c>
      <c r="F309" s="12" t="n">
        <f aca="false">COUNTIFS($A$5:$A$716,A309,$C$5:$C$716,"&gt;"&amp;C309)+1</f>
        <v>13</v>
      </c>
      <c r="G309" s="9" t="n">
        <f aca="false">C309/SUMIFS($C$5:$C$716,$A$5:$A$716,A309)</f>
        <v>0.010765934654526</v>
      </c>
    </row>
    <row r="310" customFormat="false" ht="15" hidden="false" customHeight="false" outlineLevel="0" collapsed="false">
      <c r="A310" s="7" t="s">
        <v>38</v>
      </c>
      <c r="B310" s="7" t="s">
        <v>388</v>
      </c>
      <c r="C310" s="13" t="n">
        <v>180</v>
      </c>
      <c r="D310" s="8"/>
      <c r="E310" s="12" t="n">
        <f aca="false">RANK(C310,$C$5:$C$716)</f>
        <v>245</v>
      </c>
      <c r="F310" s="12" t="n">
        <f aca="false">COUNTIFS($A$5:$A$716,A310,$C$5:$C$716,"&gt;"&amp;C310)+1</f>
        <v>14</v>
      </c>
      <c r="G310" s="9" t="n">
        <f aca="false">C310/SUMIFS($C$5:$C$716,$A$5:$A$716,A310)</f>
        <v>0.0096411355115158</v>
      </c>
    </row>
    <row r="311" customFormat="false" ht="15" hidden="false" customHeight="false" outlineLevel="0" collapsed="false">
      <c r="A311" s="7" t="s">
        <v>38</v>
      </c>
      <c r="B311" s="7" t="s">
        <v>389</v>
      </c>
      <c r="C311" s="13" t="n">
        <v>172</v>
      </c>
      <c r="D311" s="8"/>
      <c r="E311" s="12" t="n">
        <f aca="false">RANK(C311,$C$5:$C$716)</f>
        <v>259</v>
      </c>
      <c r="F311" s="12" t="n">
        <f aca="false">COUNTIFS($A$5:$A$716,A311,$C$5:$C$716,"&gt;"&amp;C311)+1</f>
        <v>15</v>
      </c>
      <c r="G311" s="9" t="n">
        <f aca="false">C311/SUMIFS($C$5:$C$716,$A$5:$A$716,A311)</f>
        <v>0.00921264059989288</v>
      </c>
    </row>
    <row r="312" customFormat="false" ht="15" hidden="false" customHeight="false" outlineLevel="0" collapsed="false">
      <c r="A312" s="7" t="s">
        <v>38</v>
      </c>
      <c r="B312" s="7" t="s">
        <v>390</v>
      </c>
      <c r="C312" s="13" t="n">
        <v>158</v>
      </c>
      <c r="D312" s="8"/>
      <c r="E312" s="12" t="n">
        <f aca="false">RANK(C312,$C$5:$C$716)</f>
        <v>277</v>
      </c>
      <c r="F312" s="12" t="n">
        <f aca="false">COUNTIFS($A$5:$A$716,A312,$C$5:$C$716,"&gt;"&amp;C312)+1</f>
        <v>16</v>
      </c>
      <c r="G312" s="9" t="n">
        <f aca="false">C312/SUMIFS($C$5:$C$716,$A$5:$A$716,A312)</f>
        <v>0.00846277450455276</v>
      </c>
    </row>
    <row r="313" customFormat="false" ht="15" hidden="false" customHeight="false" outlineLevel="0" collapsed="false">
      <c r="A313" s="7" t="s">
        <v>38</v>
      </c>
      <c r="B313" s="7" t="s">
        <v>391</v>
      </c>
      <c r="C313" s="13" t="n">
        <v>144</v>
      </c>
      <c r="D313" s="8"/>
      <c r="E313" s="12" t="n">
        <f aca="false">RANK(C313,$C$5:$C$716)</f>
        <v>300</v>
      </c>
      <c r="F313" s="12" t="n">
        <f aca="false">COUNTIFS($A$5:$A$716,A313,$C$5:$C$716,"&gt;"&amp;C313)+1</f>
        <v>17</v>
      </c>
      <c r="G313" s="9" t="n">
        <f aca="false">C313/SUMIFS($C$5:$C$716,$A$5:$A$716,A313)</f>
        <v>0.00771290840921264</v>
      </c>
    </row>
    <row r="314" customFormat="false" ht="15" hidden="false" customHeight="false" outlineLevel="0" collapsed="false">
      <c r="A314" s="7" t="s">
        <v>38</v>
      </c>
      <c r="B314" s="7" t="s">
        <v>392</v>
      </c>
      <c r="C314" s="13" t="n">
        <v>131</v>
      </c>
      <c r="D314" s="8"/>
      <c r="E314" s="12" t="n">
        <f aca="false">RANK(C314,$C$5:$C$716)</f>
        <v>323</v>
      </c>
      <c r="F314" s="12" t="n">
        <f aca="false">COUNTIFS($A$5:$A$716,A314,$C$5:$C$716,"&gt;"&amp;C314)+1</f>
        <v>18</v>
      </c>
      <c r="G314" s="9" t="n">
        <f aca="false">C314/SUMIFS($C$5:$C$716,$A$5:$A$716,A314)</f>
        <v>0.00701660417782539</v>
      </c>
    </row>
    <row r="315" customFormat="false" ht="15" hidden="false" customHeight="false" outlineLevel="0" collapsed="false">
      <c r="A315" s="7" t="s">
        <v>38</v>
      </c>
      <c r="B315" s="7" t="s">
        <v>393</v>
      </c>
      <c r="C315" s="13" t="n">
        <v>123</v>
      </c>
      <c r="D315" s="8"/>
      <c r="E315" s="12" t="n">
        <f aca="false">RANK(C315,$C$5:$C$716)</f>
        <v>340</v>
      </c>
      <c r="F315" s="12" t="n">
        <f aca="false">COUNTIFS($A$5:$A$716,A315,$C$5:$C$716,"&gt;"&amp;C315)+1</f>
        <v>19</v>
      </c>
      <c r="G315" s="9" t="n">
        <f aca="false">C315/SUMIFS($C$5:$C$716,$A$5:$A$716,A315)</f>
        <v>0.00658810926620246</v>
      </c>
    </row>
    <row r="316" customFormat="false" ht="15" hidden="false" customHeight="false" outlineLevel="0" collapsed="false">
      <c r="A316" s="7" t="s">
        <v>38</v>
      </c>
      <c r="B316" s="7" t="s">
        <v>394</v>
      </c>
      <c r="C316" s="13" t="n">
        <v>94</v>
      </c>
      <c r="D316" s="8"/>
      <c r="E316" s="12" t="n">
        <f aca="false">RANK(C316,$C$5:$C$716)</f>
        <v>410</v>
      </c>
      <c r="F316" s="12" t="n">
        <f aca="false">COUNTIFS($A$5:$A$716,A316,$C$5:$C$716,"&gt;"&amp;C316)+1</f>
        <v>20</v>
      </c>
      <c r="G316" s="9" t="n">
        <f aca="false">C316/SUMIFS($C$5:$C$716,$A$5:$A$716,A316)</f>
        <v>0.00503481521156936</v>
      </c>
    </row>
    <row r="317" customFormat="false" ht="15" hidden="false" customHeight="false" outlineLevel="0" collapsed="false">
      <c r="A317" s="7" t="s">
        <v>38</v>
      </c>
      <c r="B317" s="7" t="s">
        <v>395</v>
      </c>
      <c r="C317" s="13" t="n">
        <v>85</v>
      </c>
      <c r="D317" s="8"/>
      <c r="E317" s="12" t="n">
        <f aca="false">RANK(C317,$C$5:$C$716)</f>
        <v>430</v>
      </c>
      <c r="F317" s="12" t="n">
        <f aca="false">COUNTIFS($A$5:$A$716,A317,$C$5:$C$716,"&gt;"&amp;C317)+1</f>
        <v>21</v>
      </c>
      <c r="G317" s="9" t="n">
        <f aca="false">C317/SUMIFS($C$5:$C$716,$A$5:$A$716,A317)</f>
        <v>0.00455275843599357</v>
      </c>
    </row>
    <row r="318" customFormat="false" ht="15" hidden="false" customHeight="false" outlineLevel="0" collapsed="false">
      <c r="A318" s="7" t="s">
        <v>38</v>
      </c>
      <c r="B318" s="7" t="s">
        <v>396</v>
      </c>
      <c r="C318" s="13" t="n">
        <v>82</v>
      </c>
      <c r="D318" s="8"/>
      <c r="E318" s="12" t="n">
        <f aca="false">RANK(C318,$C$5:$C$716)</f>
        <v>447</v>
      </c>
      <c r="F318" s="12" t="n">
        <f aca="false">COUNTIFS($A$5:$A$716,A318,$C$5:$C$716,"&gt;"&amp;C318)+1</f>
        <v>22</v>
      </c>
      <c r="G318" s="9" t="n">
        <f aca="false">C318/SUMIFS($C$5:$C$716,$A$5:$A$716,A318)</f>
        <v>0.00439207284413498</v>
      </c>
    </row>
    <row r="319" customFormat="false" ht="15" hidden="false" customHeight="false" outlineLevel="0" collapsed="false">
      <c r="A319" s="7" t="s">
        <v>38</v>
      </c>
      <c r="B319" s="7" t="s">
        <v>397</v>
      </c>
      <c r="C319" s="13" t="n">
        <v>80</v>
      </c>
      <c r="D319" s="8"/>
      <c r="E319" s="12" t="n">
        <f aca="false">RANK(C319,$C$5:$C$716)</f>
        <v>452</v>
      </c>
      <c r="F319" s="12" t="n">
        <f aca="false">COUNTIFS($A$5:$A$716,A319,$C$5:$C$716,"&gt;"&amp;C319)+1</f>
        <v>23</v>
      </c>
      <c r="G319" s="9" t="n">
        <f aca="false">C319/SUMIFS($C$5:$C$716,$A$5:$A$716,A319)</f>
        <v>0.00428494911622925</v>
      </c>
    </row>
    <row r="320" customFormat="false" ht="15" hidden="false" customHeight="false" outlineLevel="0" collapsed="false">
      <c r="A320" s="7" t="s">
        <v>38</v>
      </c>
      <c r="B320" s="7" t="s">
        <v>398</v>
      </c>
      <c r="C320" s="13" t="n">
        <v>78</v>
      </c>
      <c r="D320" s="8"/>
      <c r="E320" s="12" t="n">
        <f aca="false">RANK(C320,$C$5:$C$716)</f>
        <v>459</v>
      </c>
      <c r="F320" s="12" t="n">
        <f aca="false">COUNTIFS($A$5:$A$716,A320,$C$5:$C$716,"&gt;"&amp;C320)+1</f>
        <v>24</v>
      </c>
      <c r="G320" s="9" t="n">
        <f aca="false">C320/SUMIFS($C$5:$C$716,$A$5:$A$716,A320)</f>
        <v>0.00417782538832351</v>
      </c>
    </row>
    <row r="321" customFormat="false" ht="15" hidden="false" customHeight="false" outlineLevel="0" collapsed="false">
      <c r="A321" s="7" t="s">
        <v>38</v>
      </c>
      <c r="B321" s="7" t="s">
        <v>399</v>
      </c>
      <c r="C321" s="13" t="n">
        <v>77</v>
      </c>
      <c r="D321" s="8"/>
      <c r="E321" s="12" t="n">
        <f aca="false">RANK(C321,$C$5:$C$716)</f>
        <v>462</v>
      </c>
      <c r="F321" s="12" t="n">
        <f aca="false">COUNTIFS($A$5:$A$716,A321,$C$5:$C$716,"&gt;"&amp;C321)+1</f>
        <v>25</v>
      </c>
      <c r="G321" s="9" t="n">
        <f aca="false">C321/SUMIFS($C$5:$C$716,$A$5:$A$716,A321)</f>
        <v>0.00412426352437065</v>
      </c>
    </row>
    <row r="322" customFormat="false" ht="15" hidden="false" customHeight="false" outlineLevel="0" collapsed="false">
      <c r="A322" s="7" t="s">
        <v>38</v>
      </c>
      <c r="B322" s="7" t="s">
        <v>400</v>
      </c>
      <c r="C322" s="13" t="n">
        <v>76</v>
      </c>
      <c r="D322" s="8"/>
      <c r="E322" s="12" t="n">
        <f aca="false">RANK(C322,$C$5:$C$716)</f>
        <v>467</v>
      </c>
      <c r="F322" s="12" t="n">
        <f aca="false">COUNTIFS($A$5:$A$716,A322,$C$5:$C$716,"&gt;"&amp;C322)+1</f>
        <v>26</v>
      </c>
      <c r="G322" s="9" t="n">
        <f aca="false">C322/SUMIFS($C$5:$C$716,$A$5:$A$716,A322)</f>
        <v>0.00407070166041778</v>
      </c>
    </row>
    <row r="323" customFormat="false" ht="15" hidden="false" customHeight="false" outlineLevel="0" collapsed="false">
      <c r="A323" s="7" t="s">
        <v>38</v>
      </c>
      <c r="B323" s="7" t="s">
        <v>401</v>
      </c>
      <c r="C323" s="13" t="n">
        <v>67</v>
      </c>
      <c r="D323" s="8"/>
      <c r="E323" s="12" t="n">
        <f aca="false">RANK(C323,$C$5:$C$716)</f>
        <v>496</v>
      </c>
      <c r="F323" s="12" t="n">
        <f aca="false">COUNTIFS($A$5:$A$716,A323,$C$5:$C$716,"&gt;"&amp;C323)+1</f>
        <v>27</v>
      </c>
      <c r="G323" s="9" t="n">
        <f aca="false">C323/SUMIFS($C$5:$C$716,$A$5:$A$716,A323)</f>
        <v>0.00358864488484199</v>
      </c>
    </row>
    <row r="324" customFormat="false" ht="15" hidden="false" customHeight="false" outlineLevel="0" collapsed="false">
      <c r="A324" s="7" t="s">
        <v>38</v>
      </c>
      <c r="B324" s="7" t="s">
        <v>402</v>
      </c>
      <c r="C324" s="13" t="n">
        <v>66</v>
      </c>
      <c r="D324" s="8"/>
      <c r="E324" s="12" t="n">
        <f aca="false">RANK(C324,$C$5:$C$716)</f>
        <v>500</v>
      </c>
      <c r="F324" s="12" t="n">
        <f aca="false">COUNTIFS($A$5:$A$716,A324,$C$5:$C$716,"&gt;"&amp;C324)+1</f>
        <v>28</v>
      </c>
      <c r="G324" s="9" t="n">
        <f aca="false">C324/SUMIFS($C$5:$C$716,$A$5:$A$716,A324)</f>
        <v>0.00353508302088913</v>
      </c>
    </row>
    <row r="325" customFormat="false" ht="15" hidden="false" customHeight="false" outlineLevel="0" collapsed="false">
      <c r="A325" s="7" t="s">
        <v>38</v>
      </c>
      <c r="B325" s="7" t="s">
        <v>403</v>
      </c>
      <c r="C325" s="13" t="n">
        <v>62</v>
      </c>
      <c r="D325" s="8"/>
      <c r="E325" s="12" t="n">
        <f aca="false">RANK(C325,$C$5:$C$716)</f>
        <v>516</v>
      </c>
      <c r="F325" s="12" t="n">
        <f aca="false">COUNTIFS($A$5:$A$716,A325,$C$5:$C$716,"&gt;"&amp;C325)+1</f>
        <v>29</v>
      </c>
      <c r="G325" s="9" t="n">
        <f aca="false">C325/SUMIFS($C$5:$C$716,$A$5:$A$716,A325)</f>
        <v>0.00332083556507766</v>
      </c>
    </row>
    <row r="326" customFormat="false" ht="15" hidden="false" customHeight="false" outlineLevel="0" collapsed="false">
      <c r="A326" s="7" t="s">
        <v>38</v>
      </c>
      <c r="B326" s="7" t="s">
        <v>404</v>
      </c>
      <c r="C326" s="13" t="n">
        <v>57</v>
      </c>
      <c r="D326" s="8"/>
      <c r="E326" s="12" t="n">
        <f aca="false">RANK(C326,$C$5:$C$716)</f>
        <v>532</v>
      </c>
      <c r="F326" s="12" t="n">
        <f aca="false">COUNTIFS($A$5:$A$716,A326,$C$5:$C$716,"&gt;"&amp;C326)+1</f>
        <v>30</v>
      </c>
      <c r="G326" s="9" t="n">
        <f aca="false">C326/SUMIFS($C$5:$C$716,$A$5:$A$716,A326)</f>
        <v>0.00305302624531334</v>
      </c>
    </row>
    <row r="327" customFormat="false" ht="15" hidden="false" customHeight="false" outlineLevel="0" collapsed="false">
      <c r="A327" s="7" t="s">
        <v>38</v>
      </c>
      <c r="B327" s="7" t="s">
        <v>405</v>
      </c>
      <c r="C327" s="13" t="n">
        <v>52</v>
      </c>
      <c r="D327" s="8"/>
      <c r="E327" s="12" t="n">
        <f aca="false">RANK(C327,$C$5:$C$716)</f>
        <v>546</v>
      </c>
      <c r="F327" s="12" t="n">
        <f aca="false">COUNTIFS($A$5:$A$716,A327,$C$5:$C$716,"&gt;"&amp;C327)+1</f>
        <v>31</v>
      </c>
      <c r="G327" s="9" t="n">
        <f aca="false">C327/SUMIFS($C$5:$C$716,$A$5:$A$716,A327)</f>
        <v>0.00278521692554901</v>
      </c>
    </row>
    <row r="328" customFormat="false" ht="15" hidden="false" customHeight="false" outlineLevel="0" collapsed="false">
      <c r="A328" s="7" t="s">
        <v>38</v>
      </c>
      <c r="B328" s="7" t="s">
        <v>406</v>
      </c>
      <c r="C328" s="13" t="n">
        <v>49</v>
      </c>
      <c r="D328" s="8"/>
      <c r="E328" s="12" t="n">
        <f aca="false">RANK(C328,$C$5:$C$716)</f>
        <v>561</v>
      </c>
      <c r="F328" s="12" t="n">
        <f aca="false">COUNTIFS($A$5:$A$716,A328,$C$5:$C$716,"&gt;"&amp;C328)+1</f>
        <v>32</v>
      </c>
      <c r="G328" s="9" t="n">
        <f aca="false">C328/SUMIFS($C$5:$C$716,$A$5:$A$716,A328)</f>
        <v>0.00262453133369041</v>
      </c>
    </row>
    <row r="329" customFormat="false" ht="15" hidden="false" customHeight="false" outlineLevel="0" collapsed="false">
      <c r="A329" s="7" t="s">
        <v>38</v>
      </c>
      <c r="B329" s="7" t="s">
        <v>407</v>
      </c>
      <c r="C329" s="13" t="n">
        <v>48</v>
      </c>
      <c r="D329" s="8"/>
      <c r="E329" s="12" t="n">
        <f aca="false">RANK(C329,$C$5:$C$716)</f>
        <v>570</v>
      </c>
      <c r="F329" s="12" t="n">
        <f aca="false">COUNTIFS($A$5:$A$716,A329,$C$5:$C$716,"&gt;"&amp;C329)+1</f>
        <v>33</v>
      </c>
      <c r="G329" s="9" t="n">
        <f aca="false">C329/SUMIFS($C$5:$C$716,$A$5:$A$716,A329)</f>
        <v>0.00257096946973755</v>
      </c>
    </row>
    <row r="330" customFormat="false" ht="15" hidden="false" customHeight="false" outlineLevel="0" collapsed="false">
      <c r="A330" s="7" t="s">
        <v>38</v>
      </c>
      <c r="B330" s="7" t="s">
        <v>408</v>
      </c>
      <c r="C330" s="13" t="n">
        <v>46</v>
      </c>
      <c r="D330" s="8"/>
      <c r="E330" s="12" t="n">
        <f aca="false">RANK(C330,$C$5:$C$716)</f>
        <v>580</v>
      </c>
      <c r="F330" s="12" t="n">
        <f aca="false">COUNTIFS($A$5:$A$716,A330,$C$5:$C$716,"&gt;"&amp;C330)+1</f>
        <v>34</v>
      </c>
      <c r="G330" s="9" t="n">
        <f aca="false">C330/SUMIFS($C$5:$C$716,$A$5:$A$716,A330)</f>
        <v>0.00246384574183182</v>
      </c>
    </row>
    <row r="331" customFormat="false" ht="15" hidden="false" customHeight="false" outlineLevel="0" collapsed="false">
      <c r="A331" s="7" t="s">
        <v>38</v>
      </c>
      <c r="B331" s="7" t="s">
        <v>409</v>
      </c>
      <c r="C331" s="13" t="n">
        <v>44</v>
      </c>
      <c r="D331" s="8"/>
      <c r="E331" s="12" t="n">
        <f aca="false">RANK(C331,$C$5:$C$716)</f>
        <v>593</v>
      </c>
      <c r="F331" s="12" t="n">
        <f aca="false">COUNTIFS($A$5:$A$716,A331,$C$5:$C$716,"&gt;"&amp;C331)+1</f>
        <v>35</v>
      </c>
      <c r="G331" s="9" t="n">
        <f aca="false">C331/SUMIFS($C$5:$C$716,$A$5:$A$716,A331)</f>
        <v>0.00235672201392608</v>
      </c>
    </row>
    <row r="332" customFormat="false" ht="15" hidden="false" customHeight="false" outlineLevel="0" collapsed="false">
      <c r="A332" s="7" t="s">
        <v>40</v>
      </c>
      <c r="B332" s="7" t="s">
        <v>410</v>
      </c>
      <c r="C332" s="13" t="n">
        <v>11455</v>
      </c>
      <c r="D332" s="13" t="n">
        <v>5414</v>
      </c>
      <c r="E332" s="12" t="n">
        <f aca="false">RANK(C332,$C$5:$C$716)</f>
        <v>8</v>
      </c>
      <c r="F332" s="12" t="n">
        <f aca="false">COUNTIFS($A$5:$A$716,A332,$C$5:$C$716,"&gt;"&amp;C332)+1</f>
        <v>1</v>
      </c>
      <c r="G332" s="9" t="n">
        <f aca="false">C332/SUMIFS($C$5:$C$716,$A$5:$A$716,A332)</f>
        <v>0.66610455311973</v>
      </c>
    </row>
    <row r="333" customFormat="false" ht="15" hidden="false" customHeight="false" outlineLevel="0" collapsed="false">
      <c r="A333" s="7" t="s">
        <v>40</v>
      </c>
      <c r="B333" s="7" t="s">
        <v>411</v>
      </c>
      <c r="C333" s="13" t="n">
        <v>904</v>
      </c>
      <c r="D333" s="8"/>
      <c r="E333" s="12" t="n">
        <f aca="false">RANK(C333,$C$5:$C$716)</f>
        <v>57</v>
      </c>
      <c r="F333" s="12" t="n">
        <f aca="false">COUNTIFS($A$5:$A$716,A333,$C$5:$C$716,"&gt;"&amp;C333)+1</f>
        <v>2</v>
      </c>
      <c r="G333" s="9" t="n">
        <f aca="false">C333/SUMIFS($C$5:$C$716,$A$5:$A$716,A333)</f>
        <v>0.0525673082514392</v>
      </c>
    </row>
    <row r="334" customFormat="false" ht="15" hidden="false" customHeight="false" outlineLevel="0" collapsed="false">
      <c r="A334" s="7" t="s">
        <v>40</v>
      </c>
      <c r="B334" s="7" t="s">
        <v>412</v>
      </c>
      <c r="C334" s="13" t="n">
        <v>564</v>
      </c>
      <c r="D334" s="8"/>
      <c r="E334" s="12" t="n">
        <f aca="false">RANK(C334,$C$5:$C$716)</f>
        <v>94</v>
      </c>
      <c r="F334" s="12" t="n">
        <f aca="false">COUNTIFS($A$5:$A$716,A334,$C$5:$C$716,"&gt;"&amp;C334)+1</f>
        <v>3</v>
      </c>
      <c r="G334" s="9" t="n">
        <f aca="false">C334/SUMIFS($C$5:$C$716,$A$5:$A$716,A334)</f>
        <v>0.0327964179798802</v>
      </c>
    </row>
    <row r="335" customFormat="false" ht="15" hidden="false" customHeight="false" outlineLevel="0" collapsed="false">
      <c r="A335" s="7" t="s">
        <v>40</v>
      </c>
      <c r="B335" s="7" t="s">
        <v>413</v>
      </c>
      <c r="C335" s="13" t="n">
        <v>529</v>
      </c>
      <c r="D335" s="8"/>
      <c r="E335" s="12" t="n">
        <f aca="false">RANK(C335,$C$5:$C$716)</f>
        <v>100</v>
      </c>
      <c r="F335" s="12" t="n">
        <f aca="false">COUNTIFS($A$5:$A$716,A335,$C$5:$C$716,"&gt;"&amp;C335)+1</f>
        <v>4</v>
      </c>
      <c r="G335" s="9" t="n">
        <f aca="false">C335/SUMIFS($C$5:$C$716,$A$5:$A$716,A335)</f>
        <v>0.030761179275455</v>
      </c>
    </row>
    <row r="336" customFormat="false" ht="15" hidden="false" customHeight="false" outlineLevel="0" collapsed="false">
      <c r="A336" s="7" t="s">
        <v>40</v>
      </c>
      <c r="B336" s="7" t="s">
        <v>414</v>
      </c>
      <c r="C336" s="13" t="n">
        <v>423</v>
      </c>
      <c r="D336" s="8"/>
      <c r="E336" s="12" t="n">
        <f aca="false">RANK(C336,$C$5:$C$716)</f>
        <v>120</v>
      </c>
      <c r="F336" s="12" t="n">
        <f aca="false">COUNTIFS($A$5:$A$716,A336,$C$5:$C$716,"&gt;"&amp;C336)+1</f>
        <v>5</v>
      </c>
      <c r="G336" s="9" t="n">
        <f aca="false">C336/SUMIFS($C$5:$C$716,$A$5:$A$716,A336)</f>
        <v>0.0245973134849102</v>
      </c>
    </row>
    <row r="337" customFormat="false" ht="15" hidden="false" customHeight="false" outlineLevel="0" collapsed="false">
      <c r="A337" s="7" t="s">
        <v>40</v>
      </c>
      <c r="B337" s="7" t="s">
        <v>415</v>
      </c>
      <c r="C337" s="13" t="n">
        <v>402</v>
      </c>
      <c r="D337" s="8"/>
      <c r="E337" s="12" t="n">
        <f aca="false">RANK(C337,$C$5:$C$716)</f>
        <v>123</v>
      </c>
      <c r="F337" s="12" t="n">
        <f aca="false">COUNTIFS($A$5:$A$716,A337,$C$5:$C$716,"&gt;"&amp;C337)+1</f>
        <v>6</v>
      </c>
      <c r="G337" s="9" t="n">
        <f aca="false">C337/SUMIFS($C$5:$C$716,$A$5:$A$716,A337)</f>
        <v>0.023376170262255</v>
      </c>
    </row>
    <row r="338" customFormat="false" ht="15" hidden="false" customHeight="false" outlineLevel="0" collapsed="false">
      <c r="A338" s="7" t="s">
        <v>40</v>
      </c>
      <c r="B338" s="7" t="s">
        <v>416</v>
      </c>
      <c r="C338" s="13" t="n">
        <v>308</v>
      </c>
      <c r="D338" s="8"/>
      <c r="E338" s="12" t="n">
        <f aca="false">RANK(C338,$C$5:$C$716)</f>
        <v>149</v>
      </c>
      <c r="F338" s="12" t="n">
        <f aca="false">COUNTIFS($A$5:$A$716,A338,$C$5:$C$716,"&gt;"&amp;C338)+1</f>
        <v>7</v>
      </c>
      <c r="G338" s="9" t="n">
        <f aca="false">C338/SUMIFS($C$5:$C$716,$A$5:$A$716,A338)</f>
        <v>0.0179101005989417</v>
      </c>
    </row>
    <row r="339" customFormat="false" ht="15" hidden="false" customHeight="false" outlineLevel="0" collapsed="false">
      <c r="A339" s="7" t="s">
        <v>40</v>
      </c>
      <c r="B339" s="7" t="s">
        <v>417</v>
      </c>
      <c r="C339" s="13" t="n">
        <v>292</v>
      </c>
      <c r="D339" s="8"/>
      <c r="E339" s="12" t="n">
        <f aca="false">RANK(C339,$C$5:$C$716)</f>
        <v>151</v>
      </c>
      <c r="F339" s="12" t="n">
        <f aca="false">COUNTIFS($A$5:$A$716,A339,$C$5:$C$716,"&gt;"&amp;C339)+1</f>
        <v>8</v>
      </c>
      <c r="G339" s="9" t="n">
        <f aca="false">C339/SUMIFS($C$5:$C$716,$A$5:$A$716,A339)</f>
        <v>0.016979705762633</v>
      </c>
    </row>
    <row r="340" customFormat="false" ht="15" hidden="false" customHeight="false" outlineLevel="0" collapsed="false">
      <c r="A340" s="7" t="s">
        <v>40</v>
      </c>
      <c r="B340" s="7" t="s">
        <v>418</v>
      </c>
      <c r="C340" s="13" t="n">
        <v>271</v>
      </c>
      <c r="D340" s="8"/>
      <c r="E340" s="12" t="n">
        <f aca="false">RANK(C340,$C$5:$C$716)</f>
        <v>161</v>
      </c>
      <c r="F340" s="12" t="n">
        <f aca="false">COUNTIFS($A$5:$A$716,A340,$C$5:$C$716,"&gt;"&amp;C340)+1</f>
        <v>9</v>
      </c>
      <c r="G340" s="9" t="n">
        <f aca="false">C340/SUMIFS($C$5:$C$716,$A$5:$A$716,A340)</f>
        <v>0.0157585625399779</v>
      </c>
    </row>
    <row r="341" customFormat="false" ht="15" hidden="false" customHeight="false" outlineLevel="0" collapsed="false">
      <c r="A341" s="7" t="s">
        <v>40</v>
      </c>
      <c r="B341" s="7" t="s">
        <v>419</v>
      </c>
      <c r="C341" s="13" t="n">
        <v>254</v>
      </c>
      <c r="D341" s="8"/>
      <c r="E341" s="12" t="n">
        <f aca="false">RANK(C341,$C$5:$C$716)</f>
        <v>174</v>
      </c>
      <c r="F341" s="12" t="n">
        <f aca="false">COUNTIFS($A$5:$A$716,A341,$C$5:$C$716,"&gt;"&amp;C341)+1</f>
        <v>10</v>
      </c>
      <c r="G341" s="9" t="n">
        <f aca="false">C341/SUMIFS($C$5:$C$716,$A$5:$A$716,A341)</f>
        <v>0.0147700180264</v>
      </c>
    </row>
    <row r="342" customFormat="false" ht="15" hidden="false" customHeight="false" outlineLevel="0" collapsed="false">
      <c r="A342" s="7" t="s">
        <v>40</v>
      </c>
      <c r="B342" s="7" t="s">
        <v>420</v>
      </c>
      <c r="C342" s="13" t="n">
        <v>224</v>
      </c>
      <c r="D342" s="8"/>
      <c r="E342" s="12" t="n">
        <f aca="false">RANK(C342,$C$5:$C$716)</f>
        <v>200</v>
      </c>
      <c r="F342" s="12" t="n">
        <f aca="false">COUNTIFS($A$5:$A$716,A342,$C$5:$C$716,"&gt;"&amp;C342)+1</f>
        <v>11</v>
      </c>
      <c r="G342" s="9" t="n">
        <f aca="false">C342/SUMIFS($C$5:$C$716,$A$5:$A$716,A342)</f>
        <v>0.0130255277083212</v>
      </c>
    </row>
    <row r="343" customFormat="false" ht="15" hidden="false" customHeight="false" outlineLevel="0" collapsed="false">
      <c r="A343" s="7" t="s">
        <v>40</v>
      </c>
      <c r="B343" s="7" t="s">
        <v>421</v>
      </c>
      <c r="C343" s="13" t="n">
        <v>219</v>
      </c>
      <c r="D343" s="8"/>
      <c r="E343" s="12" t="n">
        <f aca="false">RANK(C343,$C$5:$C$716)</f>
        <v>208</v>
      </c>
      <c r="F343" s="12" t="n">
        <f aca="false">COUNTIFS($A$5:$A$716,A343,$C$5:$C$716,"&gt;"&amp;C343)+1</f>
        <v>12</v>
      </c>
      <c r="G343" s="9" t="n">
        <f aca="false">C343/SUMIFS($C$5:$C$716,$A$5:$A$716,A343)</f>
        <v>0.0127347793219748</v>
      </c>
    </row>
    <row r="344" customFormat="false" ht="15" hidden="false" customHeight="false" outlineLevel="0" collapsed="false">
      <c r="A344" s="7" t="s">
        <v>40</v>
      </c>
      <c r="B344" s="7" t="s">
        <v>422</v>
      </c>
      <c r="C344" s="13" t="n">
        <v>142</v>
      </c>
      <c r="D344" s="8"/>
      <c r="E344" s="12" t="n">
        <f aca="false">RANK(C344,$C$5:$C$716)</f>
        <v>302</v>
      </c>
      <c r="F344" s="12" t="n">
        <f aca="false">COUNTIFS($A$5:$A$716,A344,$C$5:$C$716,"&gt;"&amp;C344)+1</f>
        <v>13</v>
      </c>
      <c r="G344" s="9" t="n">
        <f aca="false">C344/SUMIFS($C$5:$C$716,$A$5:$A$716,A344)</f>
        <v>0.00825725417223935</v>
      </c>
    </row>
    <row r="345" customFormat="false" ht="15" hidden="false" customHeight="false" outlineLevel="0" collapsed="false">
      <c r="A345" s="7" t="s">
        <v>40</v>
      </c>
      <c r="B345" s="7" t="s">
        <v>423</v>
      </c>
      <c r="C345" s="13" t="n">
        <v>133</v>
      </c>
      <c r="D345" s="8"/>
      <c r="E345" s="12" t="n">
        <f aca="false">RANK(C345,$C$5:$C$716)</f>
        <v>317</v>
      </c>
      <c r="F345" s="12" t="n">
        <f aca="false">COUNTIFS($A$5:$A$716,A345,$C$5:$C$716,"&gt;"&amp;C345)+1</f>
        <v>14</v>
      </c>
      <c r="G345" s="9" t="n">
        <f aca="false">C345/SUMIFS($C$5:$C$716,$A$5:$A$716,A345)</f>
        <v>0.00773390707681572</v>
      </c>
    </row>
    <row r="346" customFormat="false" ht="15" hidden="false" customHeight="false" outlineLevel="0" collapsed="false">
      <c r="A346" s="7" t="s">
        <v>40</v>
      </c>
      <c r="B346" s="7" t="s">
        <v>424</v>
      </c>
      <c r="C346" s="13" t="n">
        <v>132</v>
      </c>
      <c r="D346" s="8"/>
      <c r="E346" s="12" t="n">
        <f aca="false">RANK(C346,$C$5:$C$716)</f>
        <v>321</v>
      </c>
      <c r="F346" s="12" t="n">
        <f aca="false">COUNTIFS($A$5:$A$716,A346,$C$5:$C$716,"&gt;"&amp;C346)+1</f>
        <v>15</v>
      </c>
      <c r="G346" s="9" t="n">
        <f aca="false">C346/SUMIFS($C$5:$C$716,$A$5:$A$716,A346)</f>
        <v>0.00767575739954643</v>
      </c>
    </row>
    <row r="347" customFormat="false" ht="15" hidden="false" customHeight="false" outlineLevel="0" collapsed="false">
      <c r="A347" s="7" t="s">
        <v>40</v>
      </c>
      <c r="B347" s="7" t="s">
        <v>425</v>
      </c>
      <c r="C347" s="13" t="n">
        <v>131</v>
      </c>
      <c r="D347" s="8"/>
      <c r="E347" s="12" t="n">
        <f aca="false">RANK(C347,$C$5:$C$716)</f>
        <v>323</v>
      </c>
      <c r="F347" s="12" t="n">
        <f aca="false">COUNTIFS($A$5:$A$716,A347,$C$5:$C$716,"&gt;"&amp;C347)+1</f>
        <v>16</v>
      </c>
      <c r="G347" s="9" t="n">
        <f aca="false">C347/SUMIFS($C$5:$C$716,$A$5:$A$716,A347)</f>
        <v>0.00761760772227714</v>
      </c>
    </row>
    <row r="348" customFormat="false" ht="15" hidden="false" customHeight="false" outlineLevel="0" collapsed="false">
      <c r="A348" s="7" t="s">
        <v>40</v>
      </c>
      <c r="B348" s="7" t="s">
        <v>426</v>
      </c>
      <c r="C348" s="13" t="n">
        <v>118</v>
      </c>
      <c r="D348" s="8"/>
      <c r="E348" s="12" t="n">
        <f aca="false">RANK(C348,$C$5:$C$716)</f>
        <v>352</v>
      </c>
      <c r="F348" s="12" t="n">
        <f aca="false">COUNTIFS($A$5:$A$716,A348,$C$5:$C$716,"&gt;"&amp;C348)+1</f>
        <v>17</v>
      </c>
      <c r="G348" s="9" t="n">
        <f aca="false">C348/SUMIFS($C$5:$C$716,$A$5:$A$716,A348)</f>
        <v>0.00686166191777636</v>
      </c>
    </row>
    <row r="349" customFormat="false" ht="15" hidden="false" customHeight="false" outlineLevel="0" collapsed="false">
      <c r="A349" s="7" t="s">
        <v>40</v>
      </c>
      <c r="B349" s="7" t="s">
        <v>427</v>
      </c>
      <c r="C349" s="13" t="n">
        <v>81</v>
      </c>
      <c r="D349" s="8"/>
      <c r="E349" s="12" t="n">
        <f aca="false">RANK(C349,$C$5:$C$716)</f>
        <v>450</v>
      </c>
      <c r="F349" s="12" t="n">
        <f aca="false">COUNTIFS($A$5:$A$716,A349,$C$5:$C$716,"&gt;"&amp;C349)+1</f>
        <v>18</v>
      </c>
      <c r="G349" s="9" t="n">
        <f aca="false">C349/SUMIFS($C$5:$C$716,$A$5:$A$716,A349)</f>
        <v>0.00471012385881258</v>
      </c>
    </row>
    <row r="350" customFormat="false" ht="15" hidden="false" customHeight="false" outlineLevel="0" collapsed="false">
      <c r="A350" s="7" t="s">
        <v>40</v>
      </c>
      <c r="B350" s="7" t="s">
        <v>428</v>
      </c>
      <c r="C350" s="13" t="n">
        <v>77</v>
      </c>
      <c r="D350" s="8"/>
      <c r="E350" s="12" t="n">
        <f aca="false">RANK(C350,$C$5:$C$716)</f>
        <v>462</v>
      </c>
      <c r="F350" s="12" t="n">
        <f aca="false">COUNTIFS($A$5:$A$716,A350,$C$5:$C$716,"&gt;"&amp;C350)+1</f>
        <v>19</v>
      </c>
      <c r="G350" s="9" t="n">
        <f aca="false">C350/SUMIFS($C$5:$C$716,$A$5:$A$716,A350)</f>
        <v>0.00447752514973542</v>
      </c>
    </row>
    <row r="351" customFormat="false" ht="15" hidden="false" customHeight="false" outlineLevel="0" collapsed="false">
      <c r="A351" s="7" t="s">
        <v>40</v>
      </c>
      <c r="B351" s="7" t="s">
        <v>429</v>
      </c>
      <c r="C351" s="13" t="n">
        <v>70</v>
      </c>
      <c r="D351" s="8"/>
      <c r="E351" s="12" t="n">
        <f aca="false">RANK(C351,$C$5:$C$716)</f>
        <v>487</v>
      </c>
      <c r="F351" s="12" t="n">
        <f aca="false">COUNTIFS($A$5:$A$716,A351,$C$5:$C$716,"&gt;"&amp;C351)+1</f>
        <v>20</v>
      </c>
      <c r="G351" s="9" t="n">
        <f aca="false">C351/SUMIFS($C$5:$C$716,$A$5:$A$716,A351)</f>
        <v>0.00407047740885038</v>
      </c>
    </row>
    <row r="352" customFormat="false" ht="15" hidden="false" customHeight="false" outlineLevel="0" collapsed="false">
      <c r="A352" s="7" t="s">
        <v>40</v>
      </c>
      <c r="B352" s="7" t="s">
        <v>430</v>
      </c>
      <c r="C352" s="13" t="n">
        <v>60</v>
      </c>
      <c r="D352" s="8"/>
      <c r="E352" s="12" t="n">
        <f aca="false">RANK(C352,$C$5:$C$716)</f>
        <v>521</v>
      </c>
      <c r="F352" s="12" t="n">
        <f aca="false">COUNTIFS($A$5:$A$716,A352,$C$5:$C$716,"&gt;"&amp;C352)+1</f>
        <v>21</v>
      </c>
      <c r="G352" s="9" t="n">
        <f aca="false">C352/SUMIFS($C$5:$C$716,$A$5:$A$716,A352)</f>
        <v>0.00348898063615747</v>
      </c>
    </row>
    <row r="353" customFormat="false" ht="15" hidden="false" customHeight="false" outlineLevel="0" collapsed="false">
      <c r="A353" s="7" t="s">
        <v>40</v>
      </c>
      <c r="B353" s="7" t="s">
        <v>431</v>
      </c>
      <c r="C353" s="13" t="n">
        <v>57</v>
      </c>
      <c r="D353" s="8"/>
      <c r="E353" s="12" t="n">
        <f aca="false">RANK(C353,$C$5:$C$716)</f>
        <v>532</v>
      </c>
      <c r="F353" s="12" t="n">
        <f aca="false">COUNTIFS($A$5:$A$716,A353,$C$5:$C$716,"&gt;"&amp;C353)+1</f>
        <v>22</v>
      </c>
      <c r="G353" s="9" t="n">
        <f aca="false">C353/SUMIFS($C$5:$C$716,$A$5:$A$716,A353)</f>
        <v>0.0033145316043496</v>
      </c>
    </row>
    <row r="354" customFormat="false" ht="15" hidden="false" customHeight="false" outlineLevel="0" collapsed="false">
      <c r="A354" s="7" t="s">
        <v>40</v>
      </c>
      <c r="B354" s="7" t="s">
        <v>432</v>
      </c>
      <c r="C354" s="13" t="n">
        <v>49</v>
      </c>
      <c r="D354" s="8"/>
      <c r="E354" s="12" t="n">
        <f aca="false">RANK(C354,$C$5:$C$716)</f>
        <v>561</v>
      </c>
      <c r="F354" s="12" t="n">
        <f aca="false">COUNTIFS($A$5:$A$716,A354,$C$5:$C$716,"&gt;"&amp;C354)+1</f>
        <v>23</v>
      </c>
      <c r="G354" s="9" t="n">
        <f aca="false">C354/SUMIFS($C$5:$C$716,$A$5:$A$716,A354)</f>
        <v>0.00284933418619527</v>
      </c>
    </row>
    <row r="355" customFormat="false" ht="15" hidden="false" customHeight="false" outlineLevel="0" collapsed="false">
      <c r="A355" s="7" t="s">
        <v>40</v>
      </c>
      <c r="B355" s="7" t="s">
        <v>433</v>
      </c>
      <c r="C355" s="13" t="n">
        <v>48</v>
      </c>
      <c r="D355" s="8"/>
      <c r="E355" s="12" t="n">
        <f aca="false">RANK(C355,$C$5:$C$716)</f>
        <v>570</v>
      </c>
      <c r="F355" s="12" t="n">
        <f aca="false">COUNTIFS($A$5:$A$716,A355,$C$5:$C$716,"&gt;"&amp;C355)+1</f>
        <v>24</v>
      </c>
      <c r="G355" s="9" t="n">
        <f aca="false">C355/SUMIFS($C$5:$C$716,$A$5:$A$716,A355)</f>
        <v>0.00279118450892598</v>
      </c>
    </row>
    <row r="356" customFormat="false" ht="15" hidden="false" customHeight="false" outlineLevel="0" collapsed="false">
      <c r="A356" s="7" t="s">
        <v>40</v>
      </c>
      <c r="B356" s="7" t="s">
        <v>434</v>
      </c>
      <c r="C356" s="13" t="n">
        <v>42</v>
      </c>
      <c r="D356" s="8"/>
      <c r="E356" s="12" t="n">
        <f aca="false">RANK(C356,$C$5:$C$716)</f>
        <v>603</v>
      </c>
      <c r="F356" s="12" t="n">
        <f aca="false">COUNTIFS($A$5:$A$716,A356,$C$5:$C$716,"&gt;"&amp;C356)+1</f>
        <v>25</v>
      </c>
      <c r="G356" s="9" t="n">
        <f aca="false">C356/SUMIFS($C$5:$C$716,$A$5:$A$716,A356)</f>
        <v>0.00244228644531023</v>
      </c>
    </row>
    <row r="357" customFormat="false" ht="15" hidden="false" customHeight="false" outlineLevel="0" collapsed="false">
      <c r="A357" s="7" t="s">
        <v>40</v>
      </c>
      <c r="B357" s="7" t="s">
        <v>435</v>
      </c>
      <c r="C357" s="13" t="n">
        <v>34</v>
      </c>
      <c r="D357" s="8"/>
      <c r="E357" s="12" t="n">
        <f aca="false">RANK(C357,$C$5:$C$716)</f>
        <v>655</v>
      </c>
      <c r="F357" s="12" t="n">
        <f aca="false">COUNTIFS($A$5:$A$716,A357,$C$5:$C$716,"&gt;"&amp;C357)+1</f>
        <v>26</v>
      </c>
      <c r="G357" s="9" t="n">
        <f aca="false">C357/SUMIFS($C$5:$C$716,$A$5:$A$716,A357)</f>
        <v>0.0019770890271559</v>
      </c>
    </row>
    <row r="358" customFormat="false" ht="15" hidden="false" customHeight="false" outlineLevel="0" collapsed="false">
      <c r="A358" s="7" t="s">
        <v>40</v>
      </c>
      <c r="B358" s="7" t="s">
        <v>436</v>
      </c>
      <c r="C358" s="13" t="n">
        <v>32</v>
      </c>
      <c r="D358" s="8"/>
      <c r="E358" s="12" t="n">
        <f aca="false">RANK(C358,$C$5:$C$716)</f>
        <v>668</v>
      </c>
      <c r="F358" s="12" t="n">
        <f aca="false">COUNTIFS($A$5:$A$716,A358,$C$5:$C$716,"&gt;"&amp;C358)+1</f>
        <v>27</v>
      </c>
      <c r="G358" s="9" t="n">
        <f aca="false">C358/SUMIFS($C$5:$C$716,$A$5:$A$716,A358)</f>
        <v>0.00186078967261732</v>
      </c>
    </row>
    <row r="359" customFormat="false" ht="15" hidden="false" customHeight="false" outlineLevel="0" collapsed="false">
      <c r="A359" s="7" t="s">
        <v>40</v>
      </c>
      <c r="B359" s="7" t="s">
        <v>437</v>
      </c>
      <c r="C359" s="13" t="n">
        <v>30</v>
      </c>
      <c r="D359" s="8"/>
      <c r="E359" s="12" t="n">
        <f aca="false">RANK(C359,$C$5:$C$716)</f>
        <v>683</v>
      </c>
      <c r="F359" s="12" t="n">
        <f aca="false">COUNTIFS($A$5:$A$716,A359,$C$5:$C$716,"&gt;"&amp;C359)+1</f>
        <v>28</v>
      </c>
      <c r="G359" s="9" t="n">
        <f aca="false">C359/SUMIFS($C$5:$C$716,$A$5:$A$716,A359)</f>
        <v>0.00174449031807873</v>
      </c>
    </row>
    <row r="360" customFormat="false" ht="15" hidden="false" customHeight="false" outlineLevel="0" collapsed="false">
      <c r="A360" s="7" t="s">
        <v>40</v>
      </c>
      <c r="B360" s="7" t="s">
        <v>438</v>
      </c>
      <c r="C360" s="13" t="n">
        <v>29</v>
      </c>
      <c r="D360" s="8"/>
      <c r="E360" s="12" t="n">
        <f aca="false">RANK(C360,$C$5:$C$716)</f>
        <v>690</v>
      </c>
      <c r="F360" s="12" t="n">
        <f aca="false">COUNTIFS($A$5:$A$716,A360,$C$5:$C$716,"&gt;"&amp;C360)+1</f>
        <v>29</v>
      </c>
      <c r="G360" s="9" t="n">
        <f aca="false">C360/SUMIFS($C$5:$C$716,$A$5:$A$716,A360)</f>
        <v>0.00168634064080944</v>
      </c>
    </row>
    <row r="361" customFormat="false" ht="15" hidden="false" customHeight="false" outlineLevel="0" collapsed="false">
      <c r="A361" s="7" t="s">
        <v>40</v>
      </c>
      <c r="B361" s="7" t="s">
        <v>439</v>
      </c>
      <c r="C361" s="13" t="n">
        <v>29</v>
      </c>
      <c r="D361" s="8"/>
      <c r="E361" s="12" t="n">
        <f aca="false">RANK(C361,$C$5:$C$716)</f>
        <v>690</v>
      </c>
      <c r="F361" s="12" t="n">
        <f aca="false">COUNTIFS($A$5:$A$716,A361,$C$5:$C$716,"&gt;"&amp;C361)+1</f>
        <v>29</v>
      </c>
      <c r="G361" s="9" t="n">
        <f aca="false">C361/SUMIFS($C$5:$C$716,$A$5:$A$716,A361)</f>
        <v>0.00168634064080944</v>
      </c>
    </row>
    <row r="362" customFormat="false" ht="15" hidden="false" customHeight="false" outlineLevel="0" collapsed="false">
      <c r="A362" s="7" t="s">
        <v>40</v>
      </c>
      <c r="B362" s="7" t="s">
        <v>440</v>
      </c>
      <c r="C362" s="13" t="n">
        <v>29</v>
      </c>
      <c r="D362" s="8"/>
      <c r="E362" s="12" t="n">
        <f aca="false">RANK(C362,$C$5:$C$716)</f>
        <v>690</v>
      </c>
      <c r="F362" s="12" t="n">
        <f aca="false">COUNTIFS($A$5:$A$716,A362,$C$5:$C$716,"&gt;"&amp;C362)+1</f>
        <v>29</v>
      </c>
      <c r="G362" s="9" t="n">
        <f aca="false">C362/SUMIFS($C$5:$C$716,$A$5:$A$716,A362)</f>
        <v>0.00168634064080944</v>
      </c>
    </row>
    <row r="363" customFormat="false" ht="15" hidden="false" customHeight="false" outlineLevel="0" collapsed="false">
      <c r="A363" s="7" t="s">
        <v>40</v>
      </c>
      <c r="B363" s="7" t="s">
        <v>441</v>
      </c>
      <c r="C363" s="13" t="n">
        <v>29</v>
      </c>
      <c r="D363" s="8"/>
      <c r="E363" s="12" t="n">
        <f aca="false">RANK(C363,$C$5:$C$716)</f>
        <v>690</v>
      </c>
      <c r="F363" s="12" t="n">
        <f aca="false">COUNTIFS($A$5:$A$716,A363,$C$5:$C$716,"&gt;"&amp;C363)+1</f>
        <v>29</v>
      </c>
      <c r="G363" s="9" t="n">
        <f aca="false">C363/SUMIFS($C$5:$C$716,$A$5:$A$716,A363)</f>
        <v>0.00168634064080944</v>
      </c>
    </row>
    <row r="364" customFormat="false" ht="15" hidden="false" customHeight="false" outlineLevel="0" collapsed="false">
      <c r="A364" s="7" t="s">
        <v>39</v>
      </c>
      <c r="B364" s="7" t="s">
        <v>442</v>
      </c>
      <c r="C364" s="13" t="n">
        <v>5111</v>
      </c>
      <c r="D364" s="8"/>
      <c r="E364" s="12" t="n">
        <f aca="false">RANK(C364,$C$5:$C$716)</f>
        <v>15</v>
      </c>
      <c r="F364" s="12" t="n">
        <f aca="false">COUNTIFS($A$5:$A$716,A364,$C$5:$C$716,"&gt;"&amp;C364)+1</f>
        <v>1</v>
      </c>
      <c r="G364" s="9" t="n">
        <f aca="false">C364/SUMIFS($C$5:$C$716,$A$5:$A$716,A364)</f>
        <v>0.320137801440651</v>
      </c>
    </row>
    <row r="365" customFormat="false" ht="15" hidden="false" customHeight="false" outlineLevel="0" collapsed="false">
      <c r="A365" s="7" t="s">
        <v>39</v>
      </c>
      <c r="B365" s="7" t="s">
        <v>443</v>
      </c>
      <c r="C365" s="13" t="n">
        <v>4047</v>
      </c>
      <c r="D365" s="8"/>
      <c r="E365" s="12" t="n">
        <f aca="false">RANK(C365,$C$5:$C$716)</f>
        <v>18</v>
      </c>
      <c r="F365" s="12" t="n">
        <f aca="false">COUNTIFS($A$5:$A$716,A365,$C$5:$C$716,"&gt;"&amp;C365)+1</f>
        <v>2</v>
      </c>
      <c r="G365" s="9" t="n">
        <f aca="false">C365/SUMIFS($C$5:$C$716,$A$5:$A$716,A365)</f>
        <v>0.253492013780144</v>
      </c>
    </row>
    <row r="366" customFormat="false" ht="15" hidden="false" customHeight="false" outlineLevel="0" collapsed="false">
      <c r="A366" s="7" t="s">
        <v>39</v>
      </c>
      <c r="B366" s="7" t="s">
        <v>444</v>
      </c>
      <c r="C366" s="13" t="n">
        <v>1227</v>
      </c>
      <c r="D366" s="8"/>
      <c r="E366" s="12" t="n">
        <f aca="false">RANK(C366,$C$5:$C$716)</f>
        <v>44</v>
      </c>
      <c r="F366" s="12" t="n">
        <f aca="false">COUNTIFS($A$5:$A$716,A366,$C$5:$C$716,"&gt;"&amp;C366)+1</f>
        <v>3</v>
      </c>
      <c r="G366" s="9" t="n">
        <f aca="false">C366/SUMIFS($C$5:$C$716,$A$5:$A$716,A366)</f>
        <v>0.0768556216724084</v>
      </c>
    </row>
    <row r="367" customFormat="false" ht="15" hidden="false" customHeight="false" outlineLevel="0" collapsed="false">
      <c r="A367" s="7" t="s">
        <v>39</v>
      </c>
      <c r="B367" s="7" t="s">
        <v>445</v>
      </c>
      <c r="C367" s="13" t="n">
        <v>978</v>
      </c>
      <c r="D367" s="8"/>
      <c r="E367" s="12" t="n">
        <f aca="false">RANK(C367,$C$5:$C$716)</f>
        <v>54</v>
      </c>
      <c r="F367" s="12" t="n">
        <f aca="false">COUNTIFS($A$5:$A$716,A367,$C$5:$C$716,"&gt;"&amp;C367)+1</f>
        <v>4</v>
      </c>
      <c r="G367" s="9" t="n">
        <f aca="false">C367/SUMIFS($C$5:$C$716,$A$5:$A$716,A367)</f>
        <v>0.0612590040714062</v>
      </c>
    </row>
    <row r="368" customFormat="false" ht="15" hidden="false" customHeight="false" outlineLevel="0" collapsed="false">
      <c r="A368" s="7" t="s">
        <v>39</v>
      </c>
      <c r="B368" s="7" t="s">
        <v>446</v>
      </c>
      <c r="C368" s="13" t="n">
        <v>396</v>
      </c>
      <c r="D368" s="8"/>
      <c r="E368" s="12" t="n">
        <f aca="false">RANK(C368,$C$5:$C$716)</f>
        <v>125</v>
      </c>
      <c r="F368" s="12" t="n">
        <f aca="false">COUNTIFS($A$5:$A$716,A368,$C$5:$C$716,"&gt;"&amp;C368)+1</f>
        <v>5</v>
      </c>
      <c r="G368" s="9" t="n">
        <f aca="false">C368/SUMIFS($C$5:$C$716,$A$5:$A$716,A368)</f>
        <v>0.0248042593172565</v>
      </c>
    </row>
    <row r="369" customFormat="false" ht="15" hidden="false" customHeight="false" outlineLevel="0" collapsed="false">
      <c r="A369" s="7" t="s">
        <v>39</v>
      </c>
      <c r="B369" s="7" t="s">
        <v>447</v>
      </c>
      <c r="C369" s="13" t="n">
        <v>290</v>
      </c>
      <c r="D369" s="8"/>
      <c r="E369" s="12" t="n">
        <f aca="false">RANK(C369,$C$5:$C$716)</f>
        <v>153</v>
      </c>
      <c r="F369" s="12" t="n">
        <f aca="false">COUNTIFS($A$5:$A$716,A369,$C$5:$C$716,"&gt;"&amp;C369)+1</f>
        <v>6</v>
      </c>
      <c r="G369" s="9" t="n">
        <f aca="false">C369/SUMIFS($C$5:$C$716,$A$5:$A$716,A369)</f>
        <v>0.0181647353585969</v>
      </c>
    </row>
    <row r="370" customFormat="false" ht="15" hidden="false" customHeight="false" outlineLevel="0" collapsed="false">
      <c r="A370" s="7" t="s">
        <v>39</v>
      </c>
      <c r="B370" s="7" t="s">
        <v>448</v>
      </c>
      <c r="C370" s="13" t="n">
        <v>271</v>
      </c>
      <c r="D370" s="8"/>
      <c r="E370" s="12" t="n">
        <f aca="false">RANK(C370,$C$5:$C$716)</f>
        <v>161</v>
      </c>
      <c r="F370" s="12" t="n">
        <f aca="false">COUNTIFS($A$5:$A$716,A370,$C$5:$C$716,"&gt;"&amp;C370)+1</f>
        <v>7</v>
      </c>
      <c r="G370" s="9" t="n">
        <f aca="false">C370/SUMIFS($C$5:$C$716,$A$5:$A$716,A370)</f>
        <v>0.0169746320075164</v>
      </c>
    </row>
    <row r="371" customFormat="false" ht="15" hidden="false" customHeight="false" outlineLevel="0" collapsed="false">
      <c r="A371" s="7" t="s">
        <v>39</v>
      </c>
      <c r="B371" s="7" t="s">
        <v>449</v>
      </c>
      <c r="C371" s="13" t="n">
        <v>266</v>
      </c>
      <c r="D371" s="8"/>
      <c r="E371" s="12" t="n">
        <f aca="false">RANK(C371,$C$5:$C$716)</f>
        <v>167</v>
      </c>
      <c r="F371" s="12" t="n">
        <f aca="false">COUNTIFS($A$5:$A$716,A371,$C$5:$C$716,"&gt;"&amp;C371)+1</f>
        <v>8</v>
      </c>
      <c r="G371" s="9" t="n">
        <f aca="false">C371/SUMIFS($C$5:$C$716,$A$5:$A$716,A371)</f>
        <v>0.0166614469151268</v>
      </c>
    </row>
    <row r="372" customFormat="false" ht="15" hidden="false" customHeight="false" outlineLevel="0" collapsed="false">
      <c r="A372" s="7" t="s">
        <v>39</v>
      </c>
      <c r="B372" s="7" t="s">
        <v>450</v>
      </c>
      <c r="C372" s="13" t="n">
        <v>249</v>
      </c>
      <c r="D372" s="8"/>
      <c r="E372" s="12" t="n">
        <f aca="false">RANK(C372,$C$5:$C$716)</f>
        <v>178</v>
      </c>
      <c r="F372" s="12" t="n">
        <f aca="false">COUNTIFS($A$5:$A$716,A372,$C$5:$C$716,"&gt;"&amp;C372)+1</f>
        <v>9</v>
      </c>
      <c r="G372" s="9" t="n">
        <f aca="false">C372/SUMIFS($C$5:$C$716,$A$5:$A$716,A372)</f>
        <v>0.0155966176010022</v>
      </c>
    </row>
    <row r="373" customFormat="false" ht="15" hidden="false" customHeight="false" outlineLevel="0" collapsed="false">
      <c r="A373" s="7" t="s">
        <v>39</v>
      </c>
      <c r="B373" s="7" t="s">
        <v>451</v>
      </c>
      <c r="C373" s="13" t="n">
        <v>202</v>
      </c>
      <c r="D373" s="8"/>
      <c r="E373" s="12" t="n">
        <f aca="false">RANK(C373,$C$5:$C$716)</f>
        <v>228</v>
      </c>
      <c r="F373" s="12" t="n">
        <f aca="false">COUNTIFS($A$5:$A$716,A373,$C$5:$C$716,"&gt;"&amp;C373)+1</f>
        <v>10</v>
      </c>
      <c r="G373" s="9" t="n">
        <f aca="false">C373/SUMIFS($C$5:$C$716,$A$5:$A$716,A373)</f>
        <v>0.0126526777325399</v>
      </c>
    </row>
    <row r="374" customFormat="false" ht="15" hidden="false" customHeight="false" outlineLevel="0" collapsed="false">
      <c r="A374" s="7" t="s">
        <v>39</v>
      </c>
      <c r="B374" s="7" t="s">
        <v>452</v>
      </c>
      <c r="C374" s="13" t="n">
        <v>177</v>
      </c>
      <c r="D374" s="8"/>
      <c r="E374" s="12" t="n">
        <f aca="false">RANK(C374,$C$5:$C$716)</f>
        <v>250</v>
      </c>
      <c r="F374" s="12" t="n">
        <f aca="false">COUNTIFS($A$5:$A$716,A374,$C$5:$C$716,"&gt;"&amp;C374)+1</f>
        <v>11</v>
      </c>
      <c r="G374" s="9" t="n">
        <f aca="false">C374/SUMIFS($C$5:$C$716,$A$5:$A$716,A374)</f>
        <v>0.0110867522705919</v>
      </c>
    </row>
    <row r="375" customFormat="false" ht="15" hidden="false" customHeight="false" outlineLevel="0" collapsed="false">
      <c r="A375" s="7" t="s">
        <v>39</v>
      </c>
      <c r="B375" s="7" t="s">
        <v>453</v>
      </c>
      <c r="C375" s="13" t="n">
        <v>149</v>
      </c>
      <c r="D375" s="8"/>
      <c r="E375" s="12" t="n">
        <f aca="false">RANK(C375,$C$5:$C$716)</f>
        <v>292</v>
      </c>
      <c r="F375" s="12" t="n">
        <f aca="false">COUNTIFS($A$5:$A$716,A375,$C$5:$C$716,"&gt;"&amp;C375)+1</f>
        <v>12</v>
      </c>
      <c r="G375" s="9" t="n">
        <f aca="false">C375/SUMIFS($C$5:$C$716,$A$5:$A$716,A375)</f>
        <v>0.00933291575321015</v>
      </c>
    </row>
    <row r="376" customFormat="false" ht="15" hidden="false" customHeight="false" outlineLevel="0" collapsed="false">
      <c r="A376" s="7" t="s">
        <v>39</v>
      </c>
      <c r="B376" s="7" t="s">
        <v>454</v>
      </c>
      <c r="C376" s="13" t="n">
        <v>149</v>
      </c>
      <c r="D376" s="8"/>
      <c r="E376" s="12" t="n">
        <f aca="false">RANK(C376,$C$5:$C$716)</f>
        <v>292</v>
      </c>
      <c r="F376" s="12" t="n">
        <f aca="false">COUNTIFS($A$5:$A$716,A376,$C$5:$C$716,"&gt;"&amp;C376)+1</f>
        <v>12</v>
      </c>
      <c r="G376" s="9" t="n">
        <f aca="false">C376/SUMIFS($C$5:$C$716,$A$5:$A$716,A376)</f>
        <v>0.00933291575321015</v>
      </c>
    </row>
    <row r="377" customFormat="false" ht="15" hidden="false" customHeight="false" outlineLevel="0" collapsed="false">
      <c r="A377" s="7" t="s">
        <v>39</v>
      </c>
      <c r="B377" s="7" t="s">
        <v>455</v>
      </c>
      <c r="C377" s="13" t="n">
        <v>121</v>
      </c>
      <c r="D377" s="8"/>
      <c r="E377" s="12" t="n">
        <f aca="false">RANK(C377,$C$5:$C$716)</f>
        <v>345</v>
      </c>
      <c r="F377" s="12" t="n">
        <f aca="false">COUNTIFS($A$5:$A$716,A377,$C$5:$C$716,"&gt;"&amp;C377)+1</f>
        <v>14</v>
      </c>
      <c r="G377" s="9" t="n">
        <f aca="false">C377/SUMIFS($C$5:$C$716,$A$5:$A$716,A377)</f>
        <v>0.00757907923582838</v>
      </c>
    </row>
    <row r="378" customFormat="false" ht="15" hidden="false" customHeight="false" outlineLevel="0" collapsed="false">
      <c r="A378" s="7" t="s">
        <v>39</v>
      </c>
      <c r="B378" s="7" t="s">
        <v>456</v>
      </c>
      <c r="C378" s="13" t="n">
        <v>116</v>
      </c>
      <c r="D378" s="8"/>
      <c r="E378" s="12" t="n">
        <f aca="false">RANK(C378,$C$5:$C$716)</f>
        <v>357</v>
      </c>
      <c r="F378" s="12" t="n">
        <f aca="false">COUNTIFS($A$5:$A$716,A378,$C$5:$C$716,"&gt;"&amp;C378)+1</f>
        <v>15</v>
      </c>
      <c r="G378" s="9" t="n">
        <f aca="false">C378/SUMIFS($C$5:$C$716,$A$5:$A$716,A378)</f>
        <v>0.00726589414343877</v>
      </c>
    </row>
    <row r="379" customFormat="false" ht="15" hidden="false" customHeight="false" outlineLevel="0" collapsed="false">
      <c r="A379" s="7" t="s">
        <v>39</v>
      </c>
      <c r="B379" s="7" t="s">
        <v>457</v>
      </c>
      <c r="C379" s="13" t="n">
        <v>112</v>
      </c>
      <c r="D379" s="8"/>
      <c r="E379" s="12" t="n">
        <f aca="false">RANK(C379,$C$5:$C$716)</f>
        <v>366</v>
      </c>
      <c r="F379" s="12" t="n">
        <f aca="false">COUNTIFS($A$5:$A$716,A379,$C$5:$C$716,"&gt;"&amp;C379)+1</f>
        <v>16</v>
      </c>
      <c r="G379" s="9" t="n">
        <f aca="false">C379/SUMIFS($C$5:$C$716,$A$5:$A$716,A379)</f>
        <v>0.00701534606952709</v>
      </c>
    </row>
    <row r="380" customFormat="false" ht="15" hidden="false" customHeight="false" outlineLevel="0" collapsed="false">
      <c r="A380" s="7" t="s">
        <v>39</v>
      </c>
      <c r="B380" s="7" t="s">
        <v>458</v>
      </c>
      <c r="C380" s="13" t="n">
        <v>112</v>
      </c>
      <c r="D380" s="8"/>
      <c r="E380" s="12" t="n">
        <f aca="false">RANK(C380,$C$5:$C$716)</f>
        <v>366</v>
      </c>
      <c r="F380" s="12" t="n">
        <f aca="false">COUNTIFS($A$5:$A$716,A380,$C$5:$C$716,"&gt;"&amp;C380)+1</f>
        <v>16</v>
      </c>
      <c r="G380" s="9" t="n">
        <f aca="false">C380/SUMIFS($C$5:$C$716,$A$5:$A$716,A380)</f>
        <v>0.00701534606952709</v>
      </c>
    </row>
    <row r="381" customFormat="false" ht="15" hidden="false" customHeight="false" outlineLevel="0" collapsed="false">
      <c r="A381" s="7" t="s">
        <v>39</v>
      </c>
      <c r="B381" s="7" t="s">
        <v>459</v>
      </c>
      <c r="C381" s="13" t="n">
        <v>109</v>
      </c>
      <c r="D381" s="8"/>
      <c r="E381" s="12" t="n">
        <f aca="false">RANK(C381,$C$5:$C$716)</f>
        <v>374</v>
      </c>
      <c r="F381" s="12" t="n">
        <f aca="false">COUNTIFS($A$5:$A$716,A381,$C$5:$C$716,"&gt;"&amp;C381)+1</f>
        <v>18</v>
      </c>
      <c r="G381" s="9" t="n">
        <f aca="false">C381/SUMIFS($C$5:$C$716,$A$5:$A$716,A381)</f>
        <v>0.00682743501409333</v>
      </c>
    </row>
    <row r="382" customFormat="false" ht="15" hidden="false" customHeight="false" outlineLevel="0" collapsed="false">
      <c r="A382" s="7" t="s">
        <v>39</v>
      </c>
      <c r="B382" s="7" t="s">
        <v>460</v>
      </c>
      <c r="C382" s="13" t="n">
        <v>107</v>
      </c>
      <c r="D382" s="8"/>
      <c r="E382" s="12" t="n">
        <f aca="false">RANK(C382,$C$5:$C$716)</f>
        <v>378</v>
      </c>
      <c r="F382" s="12" t="n">
        <f aca="false">COUNTIFS($A$5:$A$716,A382,$C$5:$C$716,"&gt;"&amp;C382)+1</f>
        <v>19</v>
      </c>
      <c r="G382" s="9" t="n">
        <f aca="false">C382/SUMIFS($C$5:$C$716,$A$5:$A$716,A382)</f>
        <v>0.00670216097713749</v>
      </c>
    </row>
    <row r="383" customFormat="false" ht="15" hidden="false" customHeight="false" outlineLevel="0" collapsed="false">
      <c r="A383" s="7" t="s">
        <v>39</v>
      </c>
      <c r="B383" s="7" t="s">
        <v>461</v>
      </c>
      <c r="C383" s="13" t="n">
        <v>105</v>
      </c>
      <c r="D383" s="8"/>
      <c r="E383" s="12" t="n">
        <f aca="false">RANK(C383,$C$5:$C$716)</f>
        <v>383</v>
      </c>
      <c r="F383" s="12" t="n">
        <f aca="false">COUNTIFS($A$5:$A$716,A383,$C$5:$C$716,"&gt;"&amp;C383)+1</f>
        <v>20</v>
      </c>
      <c r="G383" s="9" t="n">
        <f aca="false">C383/SUMIFS($C$5:$C$716,$A$5:$A$716,A383)</f>
        <v>0.00657688694018165</v>
      </c>
    </row>
    <row r="384" customFormat="false" ht="15" hidden="false" customHeight="false" outlineLevel="0" collapsed="false">
      <c r="A384" s="7" t="s">
        <v>39</v>
      </c>
      <c r="B384" s="7" t="s">
        <v>462</v>
      </c>
      <c r="C384" s="13" t="n">
        <v>102</v>
      </c>
      <c r="D384" s="8"/>
      <c r="E384" s="12" t="n">
        <f aca="false">RANK(C384,$C$5:$C$716)</f>
        <v>389</v>
      </c>
      <c r="F384" s="12" t="n">
        <f aca="false">COUNTIFS($A$5:$A$716,A384,$C$5:$C$716,"&gt;"&amp;C384)+1</f>
        <v>21</v>
      </c>
      <c r="G384" s="9" t="n">
        <f aca="false">C384/SUMIFS($C$5:$C$716,$A$5:$A$716,A384)</f>
        <v>0.00638897588474789</v>
      </c>
    </row>
    <row r="385" customFormat="false" ht="15" hidden="false" customHeight="false" outlineLevel="0" collapsed="false">
      <c r="A385" s="7" t="s">
        <v>39</v>
      </c>
      <c r="B385" s="7" t="s">
        <v>463</v>
      </c>
      <c r="C385" s="13" t="n">
        <v>102</v>
      </c>
      <c r="D385" s="8"/>
      <c r="E385" s="12" t="n">
        <f aca="false">RANK(C385,$C$5:$C$716)</f>
        <v>389</v>
      </c>
      <c r="F385" s="12" t="n">
        <f aca="false">COUNTIFS($A$5:$A$716,A385,$C$5:$C$716,"&gt;"&amp;C385)+1</f>
        <v>21</v>
      </c>
      <c r="G385" s="9" t="n">
        <f aca="false">C385/SUMIFS($C$5:$C$716,$A$5:$A$716,A385)</f>
        <v>0.00638897588474789</v>
      </c>
    </row>
    <row r="386" customFormat="false" ht="15" hidden="false" customHeight="false" outlineLevel="0" collapsed="false">
      <c r="A386" s="7" t="s">
        <v>39</v>
      </c>
      <c r="B386" s="7" t="s">
        <v>464</v>
      </c>
      <c r="C386" s="13" t="n">
        <v>101</v>
      </c>
      <c r="D386" s="8"/>
      <c r="E386" s="12" t="n">
        <f aca="false">RANK(C386,$C$5:$C$716)</f>
        <v>393</v>
      </c>
      <c r="F386" s="12" t="n">
        <f aca="false">COUNTIFS($A$5:$A$716,A386,$C$5:$C$716,"&gt;"&amp;C386)+1</f>
        <v>23</v>
      </c>
      <c r="G386" s="9" t="n">
        <f aca="false">C386/SUMIFS($C$5:$C$716,$A$5:$A$716,A386)</f>
        <v>0.00632633886626997</v>
      </c>
    </row>
    <row r="387" customFormat="false" ht="15" hidden="false" customHeight="false" outlineLevel="0" collapsed="false">
      <c r="A387" s="7" t="s">
        <v>39</v>
      </c>
      <c r="B387" s="7" t="s">
        <v>465</v>
      </c>
      <c r="C387" s="13" t="n">
        <v>96</v>
      </c>
      <c r="D387" s="8"/>
      <c r="E387" s="12" t="n">
        <f aca="false">RANK(C387,$C$5:$C$716)</f>
        <v>405</v>
      </c>
      <c r="F387" s="12" t="n">
        <f aca="false">COUNTIFS($A$5:$A$716,A387,$C$5:$C$716,"&gt;"&amp;C387)+1</f>
        <v>24</v>
      </c>
      <c r="G387" s="9" t="n">
        <f aca="false">C387/SUMIFS($C$5:$C$716,$A$5:$A$716,A387)</f>
        <v>0.00601315377388036</v>
      </c>
    </row>
    <row r="388" customFormat="false" ht="15" hidden="false" customHeight="false" outlineLevel="0" collapsed="false">
      <c r="A388" s="7" t="s">
        <v>39</v>
      </c>
      <c r="B388" s="7" t="s">
        <v>466</v>
      </c>
      <c r="C388" s="13" t="n">
        <v>93</v>
      </c>
      <c r="D388" s="8"/>
      <c r="E388" s="12" t="n">
        <f aca="false">RANK(C388,$C$5:$C$716)</f>
        <v>415</v>
      </c>
      <c r="F388" s="12" t="n">
        <f aca="false">COUNTIFS($A$5:$A$716,A388,$C$5:$C$716,"&gt;"&amp;C388)+1</f>
        <v>25</v>
      </c>
      <c r="G388" s="9" t="n">
        <f aca="false">C388/SUMIFS($C$5:$C$716,$A$5:$A$716,A388)</f>
        <v>0.0058252427184466</v>
      </c>
    </row>
    <row r="389" customFormat="false" ht="15" hidden="false" customHeight="false" outlineLevel="0" collapsed="false">
      <c r="A389" s="7" t="s">
        <v>39</v>
      </c>
      <c r="B389" s="7" t="s">
        <v>467</v>
      </c>
      <c r="C389" s="13" t="n">
        <v>82</v>
      </c>
      <c r="D389" s="8"/>
      <c r="E389" s="12" t="n">
        <f aca="false">RANK(C389,$C$5:$C$716)</f>
        <v>447</v>
      </c>
      <c r="F389" s="12" t="n">
        <f aca="false">COUNTIFS($A$5:$A$716,A389,$C$5:$C$716,"&gt;"&amp;C389)+1</f>
        <v>26</v>
      </c>
      <c r="G389" s="9" t="n">
        <f aca="false">C389/SUMIFS($C$5:$C$716,$A$5:$A$716,A389)</f>
        <v>0.00513623551518948</v>
      </c>
    </row>
    <row r="390" customFormat="false" ht="15" hidden="false" customHeight="false" outlineLevel="0" collapsed="false">
      <c r="A390" s="7" t="s">
        <v>39</v>
      </c>
      <c r="B390" s="7" t="s">
        <v>468</v>
      </c>
      <c r="C390" s="13" t="n">
        <v>77</v>
      </c>
      <c r="D390" s="8"/>
      <c r="E390" s="12" t="n">
        <f aca="false">RANK(C390,$C$5:$C$716)</f>
        <v>462</v>
      </c>
      <c r="F390" s="12" t="n">
        <f aca="false">COUNTIFS($A$5:$A$716,A390,$C$5:$C$716,"&gt;"&amp;C390)+1</f>
        <v>27</v>
      </c>
      <c r="G390" s="9" t="n">
        <f aca="false">C390/SUMIFS($C$5:$C$716,$A$5:$A$716,A390)</f>
        <v>0.00482305042279988</v>
      </c>
    </row>
    <row r="391" customFormat="false" ht="15" hidden="false" customHeight="false" outlineLevel="0" collapsed="false">
      <c r="A391" s="7" t="s">
        <v>39</v>
      </c>
      <c r="B391" s="7" t="s">
        <v>469</v>
      </c>
      <c r="C391" s="13" t="n">
        <v>73</v>
      </c>
      <c r="D391" s="8"/>
      <c r="E391" s="12" t="n">
        <f aca="false">RANK(C391,$C$5:$C$716)</f>
        <v>475</v>
      </c>
      <c r="F391" s="12" t="n">
        <f aca="false">COUNTIFS($A$5:$A$716,A391,$C$5:$C$716,"&gt;"&amp;C391)+1</f>
        <v>28</v>
      </c>
      <c r="G391" s="9" t="n">
        <f aca="false">C391/SUMIFS($C$5:$C$716,$A$5:$A$716,A391)</f>
        <v>0.00457250234888819</v>
      </c>
    </row>
    <row r="392" customFormat="false" ht="15" hidden="false" customHeight="false" outlineLevel="0" collapsed="false">
      <c r="A392" s="7" t="s">
        <v>39</v>
      </c>
      <c r="B392" s="7" t="s">
        <v>470</v>
      </c>
      <c r="C392" s="13" t="n">
        <v>71</v>
      </c>
      <c r="D392" s="8"/>
      <c r="E392" s="12" t="n">
        <f aca="false">RANK(C392,$C$5:$C$716)</f>
        <v>484</v>
      </c>
      <c r="F392" s="12" t="n">
        <f aca="false">COUNTIFS($A$5:$A$716,A392,$C$5:$C$716,"&gt;"&amp;C392)+1</f>
        <v>29</v>
      </c>
      <c r="G392" s="9" t="n">
        <f aca="false">C392/SUMIFS($C$5:$C$716,$A$5:$A$716,A392)</f>
        <v>0.00444722831193235</v>
      </c>
    </row>
    <row r="393" customFormat="false" ht="15" hidden="false" customHeight="false" outlineLevel="0" collapsed="false">
      <c r="A393" s="7" t="s">
        <v>39</v>
      </c>
      <c r="B393" s="7" t="s">
        <v>471</v>
      </c>
      <c r="C393" s="13" t="n">
        <v>69</v>
      </c>
      <c r="D393" s="8"/>
      <c r="E393" s="12" t="n">
        <f aca="false">RANK(C393,$C$5:$C$716)</f>
        <v>492</v>
      </c>
      <c r="F393" s="12" t="n">
        <f aca="false">COUNTIFS($A$5:$A$716,A393,$C$5:$C$716,"&gt;"&amp;C393)+1</f>
        <v>30</v>
      </c>
      <c r="G393" s="9" t="n">
        <f aca="false">C393/SUMIFS($C$5:$C$716,$A$5:$A$716,A393)</f>
        <v>0.00432195427497651</v>
      </c>
    </row>
    <row r="394" customFormat="false" ht="15" hidden="false" customHeight="false" outlineLevel="0" collapsed="false">
      <c r="A394" s="7" t="s">
        <v>39</v>
      </c>
      <c r="B394" s="7" t="s">
        <v>472</v>
      </c>
      <c r="C394" s="13" t="n">
        <v>67</v>
      </c>
      <c r="D394" s="8"/>
      <c r="E394" s="12" t="n">
        <f aca="false">RANK(C394,$C$5:$C$716)</f>
        <v>496</v>
      </c>
      <c r="F394" s="12" t="n">
        <f aca="false">COUNTIFS($A$5:$A$716,A394,$C$5:$C$716,"&gt;"&amp;C394)+1</f>
        <v>31</v>
      </c>
      <c r="G394" s="9" t="n">
        <f aca="false">C394/SUMIFS($C$5:$C$716,$A$5:$A$716,A394)</f>
        <v>0.00419668023802067</v>
      </c>
    </row>
    <row r="395" customFormat="false" ht="15" hidden="false" customHeight="false" outlineLevel="0" collapsed="false">
      <c r="A395" s="7" t="s">
        <v>39</v>
      </c>
      <c r="B395" s="7" t="s">
        <v>473</v>
      </c>
      <c r="C395" s="13" t="n">
        <v>54</v>
      </c>
      <c r="D395" s="8"/>
      <c r="E395" s="12" t="n">
        <f aca="false">RANK(C395,$C$5:$C$716)</f>
        <v>540</v>
      </c>
      <c r="F395" s="12" t="n">
        <f aca="false">COUNTIFS($A$5:$A$716,A395,$C$5:$C$716,"&gt;"&amp;C395)+1</f>
        <v>32</v>
      </c>
      <c r="G395" s="9" t="n">
        <f aca="false">C395/SUMIFS($C$5:$C$716,$A$5:$A$716,A395)</f>
        <v>0.0033823989978077</v>
      </c>
    </row>
    <row r="396" customFormat="false" ht="15" hidden="false" customHeight="false" outlineLevel="0" collapsed="false">
      <c r="A396" s="7" t="s">
        <v>39</v>
      </c>
      <c r="B396" s="7" t="s">
        <v>474</v>
      </c>
      <c r="C396" s="13" t="n">
        <v>52</v>
      </c>
      <c r="D396" s="8"/>
      <c r="E396" s="12" t="n">
        <f aca="false">RANK(C396,$C$5:$C$716)</f>
        <v>546</v>
      </c>
      <c r="F396" s="12" t="n">
        <f aca="false">COUNTIFS($A$5:$A$716,A396,$C$5:$C$716,"&gt;"&amp;C396)+1</f>
        <v>33</v>
      </c>
      <c r="G396" s="9" t="n">
        <f aca="false">C396/SUMIFS($C$5:$C$716,$A$5:$A$716,A396)</f>
        <v>0.00325712496085186</v>
      </c>
    </row>
    <row r="397" customFormat="false" ht="15" hidden="false" customHeight="false" outlineLevel="0" collapsed="false">
      <c r="A397" s="7" t="s">
        <v>39</v>
      </c>
      <c r="B397" s="7" t="s">
        <v>475</v>
      </c>
      <c r="C397" s="13" t="n">
        <v>51</v>
      </c>
      <c r="D397" s="8"/>
      <c r="E397" s="12" t="n">
        <f aca="false">RANK(C397,$C$5:$C$716)</f>
        <v>550</v>
      </c>
      <c r="F397" s="12" t="n">
        <f aca="false">COUNTIFS($A$5:$A$716,A397,$C$5:$C$716,"&gt;"&amp;C397)+1</f>
        <v>34</v>
      </c>
      <c r="G397" s="9" t="n">
        <f aca="false">C397/SUMIFS($C$5:$C$716,$A$5:$A$716,A397)</f>
        <v>0.00319448794237394</v>
      </c>
    </row>
    <row r="398" customFormat="false" ht="15" hidden="false" customHeight="false" outlineLevel="0" collapsed="false">
      <c r="A398" s="7" t="s">
        <v>39</v>
      </c>
      <c r="B398" s="7" t="s">
        <v>476</v>
      </c>
      <c r="C398" s="13" t="n">
        <v>50</v>
      </c>
      <c r="D398" s="8"/>
      <c r="E398" s="12" t="n">
        <f aca="false">RANK(C398,$C$5:$C$716)</f>
        <v>555</v>
      </c>
      <c r="F398" s="12" t="n">
        <f aca="false">COUNTIFS($A$5:$A$716,A398,$C$5:$C$716,"&gt;"&amp;C398)+1</f>
        <v>35</v>
      </c>
      <c r="G398" s="9" t="n">
        <f aca="false">C398/SUMIFS($C$5:$C$716,$A$5:$A$716,A398)</f>
        <v>0.00313185092389602</v>
      </c>
    </row>
    <row r="399" customFormat="false" ht="15" hidden="false" customHeight="false" outlineLevel="0" collapsed="false">
      <c r="A399" s="7" t="s">
        <v>39</v>
      </c>
      <c r="B399" s="7" t="s">
        <v>477</v>
      </c>
      <c r="C399" s="13" t="n">
        <v>49</v>
      </c>
      <c r="D399" s="8"/>
      <c r="E399" s="12" t="n">
        <f aca="false">RANK(C399,$C$5:$C$716)</f>
        <v>561</v>
      </c>
      <c r="F399" s="12" t="n">
        <f aca="false">COUNTIFS($A$5:$A$716,A399,$C$5:$C$716,"&gt;"&amp;C399)+1</f>
        <v>36</v>
      </c>
      <c r="G399" s="9" t="n">
        <f aca="false">C399/SUMIFS($C$5:$C$716,$A$5:$A$716,A399)</f>
        <v>0.0030692139054181</v>
      </c>
    </row>
    <row r="400" customFormat="false" ht="15" hidden="false" customHeight="false" outlineLevel="0" collapsed="false">
      <c r="A400" s="7" t="s">
        <v>39</v>
      </c>
      <c r="B400" s="7" t="s">
        <v>478</v>
      </c>
      <c r="C400" s="13" t="n">
        <v>47</v>
      </c>
      <c r="D400" s="8"/>
      <c r="E400" s="12" t="n">
        <f aca="false">RANK(C400,$C$5:$C$716)</f>
        <v>575</v>
      </c>
      <c r="F400" s="12" t="n">
        <f aca="false">COUNTIFS($A$5:$A$716,A400,$C$5:$C$716,"&gt;"&amp;C400)+1</f>
        <v>37</v>
      </c>
      <c r="G400" s="9" t="n">
        <f aca="false">C400/SUMIFS($C$5:$C$716,$A$5:$A$716,A400)</f>
        <v>0.00294393986846226</v>
      </c>
    </row>
    <row r="401" customFormat="false" ht="15" hidden="false" customHeight="false" outlineLevel="0" collapsed="false">
      <c r="A401" s="7" t="s">
        <v>39</v>
      </c>
      <c r="B401" s="7" t="s">
        <v>479</v>
      </c>
      <c r="C401" s="13" t="n">
        <v>44</v>
      </c>
      <c r="D401" s="8"/>
      <c r="E401" s="12" t="n">
        <f aca="false">RANK(C401,$C$5:$C$716)</f>
        <v>593</v>
      </c>
      <c r="F401" s="12" t="n">
        <f aca="false">COUNTIFS($A$5:$A$716,A401,$C$5:$C$716,"&gt;"&amp;C401)+1</f>
        <v>38</v>
      </c>
      <c r="G401" s="9" t="n">
        <f aca="false">C401/SUMIFS($C$5:$C$716,$A$5:$A$716,A401)</f>
        <v>0.0027560288130285</v>
      </c>
    </row>
    <row r="402" customFormat="false" ht="15" hidden="false" customHeight="false" outlineLevel="0" collapsed="false">
      <c r="A402" s="7" t="s">
        <v>39</v>
      </c>
      <c r="B402" s="7" t="s">
        <v>480</v>
      </c>
      <c r="C402" s="13" t="n">
        <v>44</v>
      </c>
      <c r="D402" s="8"/>
      <c r="E402" s="12" t="n">
        <f aca="false">RANK(C402,$C$5:$C$716)</f>
        <v>593</v>
      </c>
      <c r="F402" s="12" t="n">
        <f aca="false">COUNTIFS($A$5:$A$716,A402,$C$5:$C$716,"&gt;"&amp;C402)+1</f>
        <v>38</v>
      </c>
      <c r="G402" s="9" t="n">
        <f aca="false">C402/SUMIFS($C$5:$C$716,$A$5:$A$716,A402)</f>
        <v>0.0027560288130285</v>
      </c>
    </row>
    <row r="403" customFormat="false" ht="15" hidden="false" customHeight="false" outlineLevel="0" collapsed="false">
      <c r="A403" s="7" t="s">
        <v>39</v>
      </c>
      <c r="B403" s="7" t="s">
        <v>481</v>
      </c>
      <c r="C403" s="13" t="n">
        <v>42</v>
      </c>
      <c r="D403" s="8"/>
      <c r="E403" s="12" t="n">
        <f aca="false">RANK(C403,$C$5:$C$716)</f>
        <v>603</v>
      </c>
      <c r="F403" s="12" t="n">
        <f aca="false">COUNTIFS($A$5:$A$716,A403,$C$5:$C$716,"&gt;"&amp;C403)+1</f>
        <v>40</v>
      </c>
      <c r="G403" s="9" t="n">
        <f aca="false">C403/SUMIFS($C$5:$C$716,$A$5:$A$716,A403)</f>
        <v>0.00263075477607266</v>
      </c>
    </row>
    <row r="404" customFormat="false" ht="15" hidden="false" customHeight="false" outlineLevel="0" collapsed="false">
      <c r="A404" s="7" t="s">
        <v>39</v>
      </c>
      <c r="B404" s="7" t="s">
        <v>482</v>
      </c>
      <c r="C404" s="13" t="n">
        <v>41</v>
      </c>
      <c r="D404" s="8"/>
      <c r="E404" s="12" t="n">
        <f aca="false">RANK(C404,$C$5:$C$716)</f>
        <v>609</v>
      </c>
      <c r="F404" s="12" t="n">
        <f aca="false">COUNTIFS($A$5:$A$716,A404,$C$5:$C$716,"&gt;"&amp;C404)+1</f>
        <v>41</v>
      </c>
      <c r="G404" s="9" t="n">
        <f aca="false">C404/SUMIFS($C$5:$C$716,$A$5:$A$716,A404)</f>
        <v>0.00256811775759474</v>
      </c>
    </row>
    <row r="405" customFormat="false" ht="15" hidden="false" customHeight="false" outlineLevel="0" collapsed="false">
      <c r="A405" s="7" t="s">
        <v>39</v>
      </c>
      <c r="B405" s="7" t="s">
        <v>483</v>
      </c>
      <c r="C405" s="13" t="n">
        <v>41</v>
      </c>
      <c r="D405" s="8"/>
      <c r="E405" s="12" t="n">
        <f aca="false">RANK(C405,$C$5:$C$716)</f>
        <v>609</v>
      </c>
      <c r="F405" s="12" t="n">
        <f aca="false">COUNTIFS($A$5:$A$716,A405,$C$5:$C$716,"&gt;"&amp;C405)+1</f>
        <v>41</v>
      </c>
      <c r="G405" s="9" t="n">
        <f aca="false">C405/SUMIFS($C$5:$C$716,$A$5:$A$716,A405)</f>
        <v>0.00256811775759474</v>
      </c>
    </row>
    <row r="406" customFormat="false" ht="15" hidden="false" customHeight="false" outlineLevel="0" collapsed="false">
      <c r="A406" s="7" t="s">
        <v>39</v>
      </c>
      <c r="B406" s="7" t="s">
        <v>484</v>
      </c>
      <c r="C406" s="13" t="n">
        <v>37</v>
      </c>
      <c r="D406" s="8"/>
      <c r="E406" s="12" t="n">
        <f aca="false">RANK(C406,$C$5:$C$716)</f>
        <v>635</v>
      </c>
      <c r="F406" s="12" t="n">
        <f aca="false">COUNTIFS($A$5:$A$716,A406,$C$5:$C$716,"&gt;"&amp;C406)+1</f>
        <v>43</v>
      </c>
      <c r="G406" s="9" t="n">
        <f aca="false">C406/SUMIFS($C$5:$C$716,$A$5:$A$716,A406)</f>
        <v>0.00231756968368306</v>
      </c>
    </row>
    <row r="407" customFormat="false" ht="15" hidden="false" customHeight="false" outlineLevel="0" collapsed="false">
      <c r="A407" s="7" t="s">
        <v>39</v>
      </c>
      <c r="B407" s="7" t="s">
        <v>485</v>
      </c>
      <c r="C407" s="13" t="n">
        <v>37</v>
      </c>
      <c r="D407" s="8"/>
      <c r="E407" s="12" t="n">
        <f aca="false">RANK(C407,$C$5:$C$716)</f>
        <v>635</v>
      </c>
      <c r="F407" s="12" t="n">
        <f aca="false">COUNTIFS($A$5:$A$716,A407,$C$5:$C$716,"&gt;"&amp;C407)+1</f>
        <v>43</v>
      </c>
      <c r="G407" s="9" t="n">
        <f aca="false">C407/SUMIFS($C$5:$C$716,$A$5:$A$716,A407)</f>
        <v>0.00231756968368306</v>
      </c>
    </row>
    <row r="408" customFormat="false" ht="15" hidden="false" customHeight="false" outlineLevel="0" collapsed="false">
      <c r="A408" s="7" t="s">
        <v>39</v>
      </c>
      <c r="B408" s="7" t="s">
        <v>486</v>
      </c>
      <c r="C408" s="13" t="n">
        <v>33</v>
      </c>
      <c r="D408" s="8"/>
      <c r="E408" s="12" t="n">
        <f aca="false">RANK(C408,$C$5:$C$716)</f>
        <v>661</v>
      </c>
      <c r="F408" s="12" t="n">
        <f aca="false">COUNTIFS($A$5:$A$716,A408,$C$5:$C$716,"&gt;"&amp;C408)+1</f>
        <v>45</v>
      </c>
      <c r="G408" s="9" t="n">
        <f aca="false">C408/SUMIFS($C$5:$C$716,$A$5:$A$716,A408)</f>
        <v>0.00206702160977138</v>
      </c>
    </row>
    <row r="409" customFormat="false" ht="15" hidden="false" customHeight="false" outlineLevel="0" collapsed="false">
      <c r="A409" s="7" t="s">
        <v>39</v>
      </c>
      <c r="B409" s="7" t="s">
        <v>487</v>
      </c>
      <c r="C409" s="13" t="n">
        <v>31</v>
      </c>
      <c r="D409" s="8"/>
      <c r="E409" s="12" t="n">
        <f aca="false">RANK(C409,$C$5:$C$716)</f>
        <v>673</v>
      </c>
      <c r="F409" s="12" t="n">
        <f aca="false">COUNTIFS($A$5:$A$716,A409,$C$5:$C$716,"&gt;"&amp;C409)+1</f>
        <v>46</v>
      </c>
      <c r="G409" s="9" t="n">
        <f aca="false">C409/SUMIFS($C$5:$C$716,$A$5:$A$716,A409)</f>
        <v>0.00194174757281553</v>
      </c>
    </row>
    <row r="410" customFormat="false" ht="15" hidden="false" customHeight="false" outlineLevel="0" collapsed="false">
      <c r="A410" s="7" t="s">
        <v>39</v>
      </c>
      <c r="B410" s="7" t="s">
        <v>488</v>
      </c>
      <c r="C410" s="13" t="n">
        <v>30</v>
      </c>
      <c r="D410" s="8"/>
      <c r="E410" s="12" t="n">
        <f aca="false">RANK(C410,$C$5:$C$716)</f>
        <v>683</v>
      </c>
      <c r="F410" s="12" t="n">
        <f aca="false">COUNTIFS($A$5:$A$716,A410,$C$5:$C$716,"&gt;"&amp;C410)+1</f>
        <v>47</v>
      </c>
      <c r="G410" s="9" t="n">
        <f aca="false">C410/SUMIFS($C$5:$C$716,$A$5:$A$716,A410)</f>
        <v>0.00187911055433761</v>
      </c>
    </row>
    <row r="411" customFormat="false" ht="15" hidden="false" customHeight="false" outlineLevel="0" collapsed="false">
      <c r="A411" s="7" t="s">
        <v>39</v>
      </c>
      <c r="B411" s="7" t="s">
        <v>489</v>
      </c>
      <c r="C411" s="13" t="n">
        <v>28</v>
      </c>
      <c r="D411" s="8"/>
      <c r="E411" s="12" t="n">
        <f aca="false">RANK(C411,$C$5:$C$716)</f>
        <v>697</v>
      </c>
      <c r="F411" s="12" t="n">
        <f aca="false">COUNTIFS($A$5:$A$716,A411,$C$5:$C$716,"&gt;"&amp;C411)+1</f>
        <v>48</v>
      </c>
      <c r="G411" s="9" t="n">
        <f aca="false">C411/SUMIFS($C$5:$C$716,$A$5:$A$716,A411)</f>
        <v>0.00175383651738177</v>
      </c>
    </row>
    <row r="412" customFormat="false" ht="15" hidden="false" customHeight="false" outlineLevel="0" collapsed="false">
      <c r="A412" s="7" t="s">
        <v>39</v>
      </c>
      <c r="B412" s="7" t="s">
        <v>490</v>
      </c>
      <c r="C412" s="13" t="n">
        <v>27</v>
      </c>
      <c r="D412" s="8"/>
      <c r="E412" s="12" t="n">
        <f aca="false">RANK(C412,$C$5:$C$716)</f>
        <v>700</v>
      </c>
      <c r="F412" s="12" t="n">
        <f aca="false">COUNTIFS($A$5:$A$716,A412,$C$5:$C$716,"&gt;"&amp;C412)+1</f>
        <v>49</v>
      </c>
      <c r="G412" s="9" t="n">
        <f aca="false">C412/SUMIFS($C$5:$C$716,$A$5:$A$716,A412)</f>
        <v>0.00169119949890385</v>
      </c>
    </row>
    <row r="413" customFormat="false" ht="15" hidden="false" customHeight="false" outlineLevel="0" collapsed="false">
      <c r="A413" s="7" t="s">
        <v>37</v>
      </c>
      <c r="B413" s="7" t="s">
        <v>491</v>
      </c>
      <c r="C413" s="13" t="n">
        <v>4959</v>
      </c>
      <c r="D413" s="8"/>
      <c r="E413" s="12" t="n">
        <f aca="false">RANK(C413,$C$5:$C$716)</f>
        <v>16</v>
      </c>
      <c r="F413" s="12" t="n">
        <f aca="false">COUNTIFS($A$5:$A$716,A413,$C$5:$C$716,"&gt;"&amp;C413)+1</f>
        <v>1</v>
      </c>
      <c r="G413" s="9" t="n">
        <f aca="false">C413/SUMIFS($C$5:$C$716,$A$5:$A$716,A413)</f>
        <v>0.321282798833819</v>
      </c>
    </row>
    <row r="414" customFormat="false" ht="15" hidden="false" customHeight="false" outlineLevel="0" collapsed="false">
      <c r="A414" s="7" t="s">
        <v>37</v>
      </c>
      <c r="B414" s="7" t="s">
        <v>492</v>
      </c>
      <c r="C414" s="13" t="n">
        <v>2506</v>
      </c>
      <c r="D414" s="8"/>
      <c r="E414" s="12" t="n">
        <f aca="false">RANK(C414,$C$5:$C$716)</f>
        <v>27</v>
      </c>
      <c r="F414" s="12" t="n">
        <f aca="false">COUNTIFS($A$5:$A$716,A414,$C$5:$C$716,"&gt;"&amp;C414)+1</f>
        <v>2</v>
      </c>
      <c r="G414" s="9" t="n">
        <f aca="false">C414/SUMIFS($C$5:$C$716,$A$5:$A$716,A414)</f>
        <v>0.162358276643991</v>
      </c>
    </row>
    <row r="415" customFormat="false" ht="15" hidden="false" customHeight="false" outlineLevel="0" collapsed="false">
      <c r="A415" s="7" t="s">
        <v>37</v>
      </c>
      <c r="B415" s="7" t="s">
        <v>493</v>
      </c>
      <c r="C415" s="13" t="n">
        <v>1519</v>
      </c>
      <c r="D415" s="8"/>
      <c r="E415" s="12" t="n">
        <f aca="false">RANK(C415,$C$5:$C$716)</f>
        <v>38</v>
      </c>
      <c r="F415" s="12" t="n">
        <f aca="false">COUNTIFS($A$5:$A$716,A415,$C$5:$C$716,"&gt;"&amp;C415)+1</f>
        <v>3</v>
      </c>
      <c r="G415" s="9" t="n">
        <f aca="false">C415/SUMIFS($C$5:$C$716,$A$5:$A$716,A415)</f>
        <v>0.0984126984126984</v>
      </c>
    </row>
    <row r="416" customFormat="false" ht="15" hidden="false" customHeight="false" outlineLevel="0" collapsed="false">
      <c r="A416" s="7" t="s">
        <v>37</v>
      </c>
      <c r="B416" s="7" t="s">
        <v>494</v>
      </c>
      <c r="C416" s="13" t="n">
        <v>1220</v>
      </c>
      <c r="D416" s="8"/>
      <c r="E416" s="12" t="n">
        <f aca="false">RANK(C416,$C$5:$C$716)</f>
        <v>45</v>
      </c>
      <c r="F416" s="12" t="n">
        <f aca="false">COUNTIFS($A$5:$A$716,A416,$C$5:$C$716,"&gt;"&amp;C416)+1</f>
        <v>4</v>
      </c>
      <c r="G416" s="9" t="n">
        <f aca="false">C416/SUMIFS($C$5:$C$716,$A$5:$A$716,A416)</f>
        <v>0.0790411402656301</v>
      </c>
    </row>
    <row r="417" customFormat="false" ht="15" hidden="false" customHeight="false" outlineLevel="0" collapsed="false">
      <c r="A417" s="7" t="s">
        <v>37</v>
      </c>
      <c r="B417" s="7" t="s">
        <v>495</v>
      </c>
      <c r="C417" s="13" t="n">
        <v>843</v>
      </c>
      <c r="D417" s="8"/>
      <c r="E417" s="12" t="n">
        <f aca="false">RANK(C417,$C$5:$C$716)</f>
        <v>62</v>
      </c>
      <c r="F417" s="12" t="n">
        <f aca="false">COUNTIFS($A$5:$A$716,A417,$C$5:$C$716,"&gt;"&amp;C417)+1</f>
        <v>5</v>
      </c>
      <c r="G417" s="9" t="n">
        <f aca="false">C417/SUMIFS($C$5:$C$716,$A$5:$A$716,A417)</f>
        <v>0.0546161321671526</v>
      </c>
    </row>
    <row r="418" customFormat="false" ht="15" hidden="false" customHeight="false" outlineLevel="0" collapsed="false">
      <c r="A418" s="7" t="s">
        <v>37</v>
      </c>
      <c r="B418" s="7" t="s">
        <v>496</v>
      </c>
      <c r="C418" s="13" t="n">
        <v>700</v>
      </c>
      <c r="D418" s="8"/>
      <c r="E418" s="12" t="n">
        <f aca="false">RANK(C418,$C$5:$C$716)</f>
        <v>71</v>
      </c>
      <c r="F418" s="12" t="n">
        <f aca="false">COUNTIFS($A$5:$A$716,A418,$C$5:$C$716,"&gt;"&amp;C418)+1</f>
        <v>6</v>
      </c>
      <c r="G418" s="9" t="n">
        <f aca="false">C418/SUMIFS($C$5:$C$716,$A$5:$A$716,A418)</f>
        <v>0.0453514739229025</v>
      </c>
    </row>
    <row r="419" customFormat="false" ht="15" hidden="false" customHeight="false" outlineLevel="0" collapsed="false">
      <c r="A419" s="7" t="s">
        <v>37</v>
      </c>
      <c r="B419" s="7" t="s">
        <v>497</v>
      </c>
      <c r="C419" s="13" t="n">
        <v>698</v>
      </c>
      <c r="D419" s="8"/>
      <c r="E419" s="12" t="n">
        <f aca="false">RANK(C419,$C$5:$C$716)</f>
        <v>72</v>
      </c>
      <c r="F419" s="12" t="n">
        <f aca="false">COUNTIFS($A$5:$A$716,A419,$C$5:$C$716,"&gt;"&amp;C419)+1</f>
        <v>7</v>
      </c>
      <c r="G419" s="9" t="n">
        <f aca="false">C419/SUMIFS($C$5:$C$716,$A$5:$A$716,A419)</f>
        <v>0.0452218982831228</v>
      </c>
    </row>
    <row r="420" customFormat="false" ht="15" hidden="false" customHeight="false" outlineLevel="0" collapsed="false">
      <c r="A420" s="7" t="s">
        <v>37</v>
      </c>
      <c r="B420" s="7" t="s">
        <v>498</v>
      </c>
      <c r="C420" s="13" t="n">
        <v>631</v>
      </c>
      <c r="D420" s="8"/>
      <c r="E420" s="12" t="n">
        <f aca="false">RANK(C420,$C$5:$C$716)</f>
        <v>83</v>
      </c>
      <c r="F420" s="12" t="n">
        <f aca="false">COUNTIFS($A$5:$A$716,A420,$C$5:$C$716,"&gt;"&amp;C420)+1</f>
        <v>8</v>
      </c>
      <c r="G420" s="9" t="n">
        <f aca="false">C420/SUMIFS($C$5:$C$716,$A$5:$A$716,A420)</f>
        <v>0.0408811143505021</v>
      </c>
    </row>
    <row r="421" customFormat="false" ht="15" hidden="false" customHeight="false" outlineLevel="0" collapsed="false">
      <c r="A421" s="7" t="s">
        <v>37</v>
      </c>
      <c r="B421" s="7" t="s">
        <v>499</v>
      </c>
      <c r="C421" s="13" t="n">
        <v>604</v>
      </c>
      <c r="D421" s="8"/>
      <c r="E421" s="12" t="n">
        <f aca="false">RANK(C421,$C$5:$C$716)</f>
        <v>87</v>
      </c>
      <c r="F421" s="12" t="n">
        <f aca="false">COUNTIFS($A$5:$A$716,A421,$C$5:$C$716,"&gt;"&amp;C421)+1</f>
        <v>9</v>
      </c>
      <c r="G421" s="9" t="n">
        <f aca="false">C421/SUMIFS($C$5:$C$716,$A$5:$A$716,A421)</f>
        <v>0.0391318432134759</v>
      </c>
    </row>
    <row r="422" customFormat="false" ht="15" hidden="false" customHeight="false" outlineLevel="0" collapsed="false">
      <c r="A422" s="7" t="s">
        <v>37</v>
      </c>
      <c r="B422" s="7" t="s">
        <v>500</v>
      </c>
      <c r="C422" s="13" t="n">
        <v>453</v>
      </c>
      <c r="D422" s="8"/>
      <c r="E422" s="12" t="n">
        <f aca="false">RANK(C422,$C$5:$C$716)</f>
        <v>114</v>
      </c>
      <c r="F422" s="12" t="n">
        <f aca="false">COUNTIFS($A$5:$A$716,A422,$C$5:$C$716,"&gt;"&amp;C422)+1</f>
        <v>10</v>
      </c>
      <c r="G422" s="9" t="n">
        <f aca="false">C422/SUMIFS($C$5:$C$716,$A$5:$A$716,A422)</f>
        <v>0.0293488824101069</v>
      </c>
    </row>
    <row r="423" customFormat="false" ht="15" hidden="false" customHeight="false" outlineLevel="0" collapsed="false">
      <c r="A423" s="7" t="s">
        <v>37</v>
      </c>
      <c r="B423" s="7" t="s">
        <v>501</v>
      </c>
      <c r="C423" s="13" t="n">
        <v>243</v>
      </c>
      <c r="D423" s="8"/>
      <c r="E423" s="12" t="n">
        <f aca="false">RANK(C423,$C$5:$C$716)</f>
        <v>184</v>
      </c>
      <c r="F423" s="12" t="n">
        <f aca="false">COUNTIFS($A$5:$A$716,A423,$C$5:$C$716,"&gt;"&amp;C423)+1</f>
        <v>11</v>
      </c>
      <c r="G423" s="9" t="n">
        <f aca="false">C423/SUMIFS($C$5:$C$716,$A$5:$A$716,A423)</f>
        <v>0.0157434402332362</v>
      </c>
    </row>
    <row r="424" customFormat="false" ht="15" hidden="false" customHeight="false" outlineLevel="0" collapsed="false">
      <c r="A424" s="7" t="s">
        <v>37</v>
      </c>
      <c r="B424" s="7" t="s">
        <v>502</v>
      </c>
      <c r="C424" s="13" t="n">
        <v>220</v>
      </c>
      <c r="D424" s="8"/>
      <c r="E424" s="12" t="n">
        <f aca="false">RANK(C424,$C$5:$C$716)</f>
        <v>205</v>
      </c>
      <c r="F424" s="12" t="n">
        <f aca="false">COUNTIFS($A$5:$A$716,A424,$C$5:$C$716,"&gt;"&amp;C424)+1</f>
        <v>12</v>
      </c>
      <c r="G424" s="9" t="n">
        <f aca="false">C424/SUMIFS($C$5:$C$716,$A$5:$A$716,A424)</f>
        <v>0.0142533203757694</v>
      </c>
    </row>
    <row r="425" customFormat="false" ht="15" hidden="false" customHeight="false" outlineLevel="0" collapsed="false">
      <c r="A425" s="7" t="s">
        <v>37</v>
      </c>
      <c r="B425" s="7" t="s">
        <v>503</v>
      </c>
      <c r="C425" s="13" t="n">
        <v>203</v>
      </c>
      <c r="D425" s="8"/>
      <c r="E425" s="12" t="n">
        <f aca="false">RANK(C425,$C$5:$C$716)</f>
        <v>225</v>
      </c>
      <c r="F425" s="12" t="n">
        <f aca="false">COUNTIFS($A$5:$A$716,A425,$C$5:$C$716,"&gt;"&amp;C425)+1</f>
        <v>13</v>
      </c>
      <c r="G425" s="9" t="n">
        <f aca="false">C425/SUMIFS($C$5:$C$716,$A$5:$A$716,A425)</f>
        <v>0.0131519274376417</v>
      </c>
    </row>
    <row r="426" customFormat="false" ht="15" hidden="false" customHeight="false" outlineLevel="0" collapsed="false">
      <c r="A426" s="7" t="s">
        <v>37</v>
      </c>
      <c r="B426" s="7" t="s">
        <v>504</v>
      </c>
      <c r="C426" s="13" t="n">
        <v>175</v>
      </c>
      <c r="D426" s="8"/>
      <c r="E426" s="12" t="n">
        <f aca="false">RANK(C426,$C$5:$C$716)</f>
        <v>253</v>
      </c>
      <c r="F426" s="12" t="n">
        <f aca="false">COUNTIFS($A$5:$A$716,A426,$C$5:$C$716,"&gt;"&amp;C426)+1</f>
        <v>14</v>
      </c>
      <c r="G426" s="9" t="n">
        <f aca="false">C426/SUMIFS($C$5:$C$716,$A$5:$A$716,A426)</f>
        <v>0.0113378684807256</v>
      </c>
    </row>
    <row r="427" customFormat="false" ht="15" hidden="false" customHeight="false" outlineLevel="0" collapsed="false">
      <c r="A427" s="7" t="s">
        <v>37</v>
      </c>
      <c r="B427" s="7" t="s">
        <v>505</v>
      </c>
      <c r="C427" s="13" t="n">
        <v>44</v>
      </c>
      <c r="D427" s="8"/>
      <c r="E427" s="12" t="n">
        <f aca="false">RANK(C427,$C$5:$C$716)</f>
        <v>593</v>
      </c>
      <c r="F427" s="12" t="n">
        <f aca="false">COUNTIFS($A$5:$A$716,A427,$C$5:$C$716,"&gt;"&amp;C427)+1</f>
        <v>15</v>
      </c>
      <c r="G427" s="9" t="n">
        <f aca="false">C427/SUMIFS($C$5:$C$716,$A$5:$A$716,A427)</f>
        <v>0.00285066407515387</v>
      </c>
    </row>
    <row r="428" customFormat="false" ht="15" hidden="false" customHeight="false" outlineLevel="0" collapsed="false">
      <c r="A428" s="7" t="s">
        <v>37</v>
      </c>
      <c r="B428" s="7" t="s">
        <v>506</v>
      </c>
      <c r="C428" s="13" t="n">
        <v>44</v>
      </c>
      <c r="D428" s="8"/>
      <c r="E428" s="12" t="n">
        <f aca="false">RANK(C428,$C$5:$C$716)</f>
        <v>593</v>
      </c>
      <c r="F428" s="12" t="n">
        <f aca="false">COUNTIFS($A$5:$A$716,A428,$C$5:$C$716,"&gt;"&amp;C428)+1</f>
        <v>15</v>
      </c>
      <c r="G428" s="9" t="n">
        <f aca="false">C428/SUMIFS($C$5:$C$716,$A$5:$A$716,A428)</f>
        <v>0.00285066407515387</v>
      </c>
    </row>
    <row r="429" customFormat="false" ht="15" hidden="false" customHeight="false" outlineLevel="0" collapsed="false">
      <c r="A429" s="7" t="s">
        <v>37</v>
      </c>
      <c r="B429" s="7" t="s">
        <v>507</v>
      </c>
      <c r="C429" s="13" t="n">
        <v>43</v>
      </c>
      <c r="D429" s="8"/>
      <c r="E429" s="12" t="n">
        <f aca="false">RANK(C429,$C$5:$C$716)</f>
        <v>599</v>
      </c>
      <c r="F429" s="12" t="n">
        <f aca="false">COUNTIFS($A$5:$A$716,A429,$C$5:$C$716,"&gt;"&amp;C429)+1</f>
        <v>17</v>
      </c>
      <c r="G429" s="9" t="n">
        <f aca="false">C429/SUMIFS($C$5:$C$716,$A$5:$A$716,A429)</f>
        <v>0.00278587625526401</v>
      </c>
    </row>
    <row r="430" customFormat="false" ht="15" hidden="false" customHeight="false" outlineLevel="0" collapsed="false">
      <c r="A430" s="7" t="s">
        <v>37</v>
      </c>
      <c r="B430" s="7" t="s">
        <v>508</v>
      </c>
      <c r="C430" s="13" t="n">
        <v>41</v>
      </c>
      <c r="D430" s="8"/>
      <c r="E430" s="12" t="n">
        <f aca="false">RANK(C430,$C$5:$C$716)</f>
        <v>609</v>
      </c>
      <c r="F430" s="12" t="n">
        <f aca="false">COUNTIFS($A$5:$A$716,A430,$C$5:$C$716,"&gt;"&amp;C430)+1</f>
        <v>18</v>
      </c>
      <c r="G430" s="9" t="n">
        <f aca="false">C430/SUMIFS($C$5:$C$716,$A$5:$A$716,A430)</f>
        <v>0.00265630061548429</v>
      </c>
    </row>
    <row r="431" customFormat="false" ht="15" hidden="false" customHeight="false" outlineLevel="0" collapsed="false">
      <c r="A431" s="7" t="s">
        <v>37</v>
      </c>
      <c r="B431" s="7" t="s">
        <v>509</v>
      </c>
      <c r="C431" s="13" t="n">
        <v>40</v>
      </c>
      <c r="D431" s="8"/>
      <c r="E431" s="12" t="n">
        <f aca="false">RANK(C431,$C$5:$C$716)</f>
        <v>615</v>
      </c>
      <c r="F431" s="12" t="n">
        <f aca="false">COUNTIFS($A$5:$A$716,A431,$C$5:$C$716,"&gt;"&amp;C431)+1</f>
        <v>19</v>
      </c>
      <c r="G431" s="9" t="n">
        <f aca="false">C431/SUMIFS($C$5:$C$716,$A$5:$A$716,A431)</f>
        <v>0.00259151279559443</v>
      </c>
    </row>
    <row r="432" customFormat="false" ht="15" hidden="false" customHeight="false" outlineLevel="0" collapsed="false">
      <c r="A432" s="7" t="s">
        <v>37</v>
      </c>
      <c r="B432" s="7" t="s">
        <v>510</v>
      </c>
      <c r="C432" s="13" t="n">
        <v>35</v>
      </c>
      <c r="D432" s="8"/>
      <c r="E432" s="12" t="n">
        <f aca="false">RANK(C432,$C$5:$C$716)</f>
        <v>647</v>
      </c>
      <c r="F432" s="12" t="n">
        <f aca="false">COUNTIFS($A$5:$A$716,A432,$C$5:$C$716,"&gt;"&amp;C432)+1</f>
        <v>20</v>
      </c>
      <c r="G432" s="9" t="n">
        <f aca="false">C432/SUMIFS($C$5:$C$716,$A$5:$A$716,A432)</f>
        <v>0.00226757369614512</v>
      </c>
    </row>
    <row r="433" customFormat="false" ht="15" hidden="false" customHeight="false" outlineLevel="0" collapsed="false">
      <c r="A433" s="7" t="s">
        <v>37</v>
      </c>
      <c r="B433" s="7" t="s">
        <v>511</v>
      </c>
      <c r="C433" s="13" t="n">
        <v>35</v>
      </c>
      <c r="D433" s="8"/>
      <c r="E433" s="12" t="n">
        <f aca="false">RANK(C433,$C$5:$C$716)</f>
        <v>647</v>
      </c>
      <c r="F433" s="12" t="n">
        <f aca="false">COUNTIFS($A$5:$A$716,A433,$C$5:$C$716,"&gt;"&amp;C433)+1</f>
        <v>20</v>
      </c>
      <c r="G433" s="9" t="n">
        <f aca="false">C433/SUMIFS($C$5:$C$716,$A$5:$A$716,A433)</f>
        <v>0.00226757369614512</v>
      </c>
    </row>
    <row r="434" customFormat="false" ht="15" hidden="false" customHeight="false" outlineLevel="0" collapsed="false">
      <c r="A434" s="7" t="s">
        <v>37</v>
      </c>
      <c r="B434" s="7" t="s">
        <v>512</v>
      </c>
      <c r="C434" s="13" t="n">
        <v>35</v>
      </c>
      <c r="D434" s="8"/>
      <c r="E434" s="12" t="n">
        <f aca="false">RANK(C434,$C$5:$C$716)</f>
        <v>647</v>
      </c>
      <c r="F434" s="12" t="n">
        <f aca="false">COUNTIFS($A$5:$A$716,A434,$C$5:$C$716,"&gt;"&amp;C434)+1</f>
        <v>20</v>
      </c>
      <c r="G434" s="9" t="n">
        <f aca="false">C434/SUMIFS($C$5:$C$716,$A$5:$A$716,A434)</f>
        <v>0.00226757369614512</v>
      </c>
    </row>
    <row r="435" customFormat="false" ht="15" hidden="false" customHeight="false" outlineLevel="0" collapsed="false">
      <c r="A435" s="7" t="s">
        <v>37</v>
      </c>
      <c r="B435" s="7" t="s">
        <v>513</v>
      </c>
      <c r="C435" s="13" t="n">
        <v>34</v>
      </c>
      <c r="D435" s="8"/>
      <c r="E435" s="12" t="n">
        <f aca="false">RANK(C435,$C$5:$C$716)</f>
        <v>655</v>
      </c>
      <c r="F435" s="12" t="n">
        <f aca="false">COUNTIFS($A$5:$A$716,A435,$C$5:$C$716,"&gt;"&amp;C435)+1</f>
        <v>23</v>
      </c>
      <c r="G435" s="9" t="n">
        <f aca="false">C435/SUMIFS($C$5:$C$716,$A$5:$A$716,A435)</f>
        <v>0.00220278587625526</v>
      </c>
    </row>
    <row r="436" customFormat="false" ht="15" hidden="false" customHeight="false" outlineLevel="0" collapsed="false">
      <c r="A436" s="7" t="s">
        <v>37</v>
      </c>
      <c r="B436" s="7" t="s">
        <v>514</v>
      </c>
      <c r="C436" s="13" t="n">
        <v>30</v>
      </c>
      <c r="D436" s="8"/>
      <c r="E436" s="12" t="n">
        <f aca="false">RANK(C436,$C$5:$C$716)</f>
        <v>683</v>
      </c>
      <c r="F436" s="12" t="n">
        <f aca="false">COUNTIFS($A$5:$A$716,A436,$C$5:$C$716,"&gt;"&amp;C436)+1</f>
        <v>24</v>
      </c>
      <c r="G436" s="9" t="n">
        <f aca="false">C436/SUMIFS($C$5:$C$716,$A$5:$A$716,A436)</f>
        <v>0.00194363459669582</v>
      </c>
    </row>
    <row r="437" customFormat="false" ht="15" hidden="false" customHeight="false" outlineLevel="0" collapsed="false">
      <c r="A437" s="7" t="s">
        <v>37</v>
      </c>
      <c r="B437" s="7" t="s">
        <v>515</v>
      </c>
      <c r="C437" s="13" t="n">
        <v>28</v>
      </c>
      <c r="D437" s="8"/>
      <c r="E437" s="12" t="n">
        <f aca="false">RANK(C437,$C$5:$C$716)</f>
        <v>697</v>
      </c>
      <c r="F437" s="12" t="n">
        <f aca="false">COUNTIFS($A$5:$A$716,A437,$C$5:$C$716,"&gt;"&amp;C437)+1</f>
        <v>25</v>
      </c>
      <c r="G437" s="9" t="n">
        <f aca="false">C437/SUMIFS($C$5:$C$716,$A$5:$A$716,A437)</f>
        <v>0.0018140589569161</v>
      </c>
    </row>
    <row r="438" customFormat="false" ht="15" hidden="false" customHeight="false" outlineLevel="0" collapsed="false">
      <c r="A438" s="7" t="s">
        <v>37</v>
      </c>
      <c r="B438" s="7" t="s">
        <v>516</v>
      </c>
      <c r="C438" s="13" t="n">
        <v>26</v>
      </c>
      <c r="D438" s="8"/>
      <c r="E438" s="12" t="n">
        <f aca="false">RANK(C438,$C$5:$C$716)</f>
        <v>703</v>
      </c>
      <c r="F438" s="12" t="n">
        <f aca="false">COUNTIFS($A$5:$A$716,A438,$C$5:$C$716,"&gt;"&amp;C438)+1</f>
        <v>26</v>
      </c>
      <c r="G438" s="9" t="n">
        <f aca="false">C438/SUMIFS($C$5:$C$716,$A$5:$A$716,A438)</f>
        <v>0.00168448331713638</v>
      </c>
    </row>
    <row r="439" customFormat="false" ht="15" hidden="false" customHeight="false" outlineLevel="0" collapsed="false">
      <c r="A439" s="7" t="s">
        <v>37</v>
      </c>
      <c r="B439" s="7" t="s">
        <v>517</v>
      </c>
      <c r="C439" s="13" t="n">
        <v>26</v>
      </c>
      <c r="D439" s="8"/>
      <c r="E439" s="12" t="n">
        <f aca="false">RANK(C439,$C$5:$C$716)</f>
        <v>703</v>
      </c>
      <c r="F439" s="12" t="n">
        <f aca="false">COUNTIFS($A$5:$A$716,A439,$C$5:$C$716,"&gt;"&amp;C439)+1</f>
        <v>26</v>
      </c>
      <c r="G439" s="9" t="n">
        <f aca="false">C439/SUMIFS($C$5:$C$716,$A$5:$A$716,A439)</f>
        <v>0.00168448331713638</v>
      </c>
    </row>
    <row r="440" customFormat="false" ht="15" hidden="false" customHeight="false" outlineLevel="0" collapsed="false">
      <c r="A440" s="7" t="s">
        <v>41</v>
      </c>
      <c r="B440" s="7" t="s">
        <v>518</v>
      </c>
      <c r="C440" s="13" t="n">
        <v>3883</v>
      </c>
      <c r="D440" s="8"/>
      <c r="E440" s="12" t="n">
        <f aca="false">RANK(C440,$C$5:$C$716)</f>
        <v>22</v>
      </c>
      <c r="F440" s="12" t="n">
        <f aca="false">COUNTIFS($A$5:$A$716,A440,$C$5:$C$716,"&gt;"&amp;C440)+1</f>
        <v>1</v>
      </c>
      <c r="G440" s="9" t="n">
        <f aca="false">C440/SUMIFS($C$5:$C$716,$A$5:$A$716,A440)</f>
        <v>0.376953693816134</v>
      </c>
    </row>
    <row r="441" customFormat="false" ht="15" hidden="false" customHeight="false" outlineLevel="0" collapsed="false">
      <c r="A441" s="7" t="s">
        <v>41</v>
      </c>
      <c r="B441" s="7" t="s">
        <v>519</v>
      </c>
      <c r="C441" s="13" t="n">
        <v>628</v>
      </c>
      <c r="D441" s="8"/>
      <c r="E441" s="12" t="n">
        <f aca="false">RANK(C441,$C$5:$C$716)</f>
        <v>84</v>
      </c>
      <c r="F441" s="12" t="n">
        <f aca="false">COUNTIFS($A$5:$A$716,A441,$C$5:$C$716,"&gt;"&amp;C441)+1</f>
        <v>2</v>
      </c>
      <c r="G441" s="9" t="n">
        <f aca="false">C441/SUMIFS($C$5:$C$716,$A$5:$A$716,A441)</f>
        <v>0.0609649548587516</v>
      </c>
    </row>
    <row r="442" customFormat="false" ht="15" hidden="false" customHeight="false" outlineLevel="0" collapsed="false">
      <c r="A442" s="7" t="s">
        <v>41</v>
      </c>
      <c r="B442" s="7" t="s">
        <v>520</v>
      </c>
      <c r="C442" s="13" t="n">
        <v>505</v>
      </c>
      <c r="D442" s="8"/>
      <c r="E442" s="12" t="n">
        <f aca="false">RANK(C442,$C$5:$C$716)</f>
        <v>105</v>
      </c>
      <c r="F442" s="12" t="n">
        <f aca="false">COUNTIFS($A$5:$A$716,A442,$C$5:$C$716,"&gt;"&amp;C442)+1</f>
        <v>3</v>
      </c>
      <c r="G442" s="9" t="n">
        <f aca="false">C442/SUMIFS($C$5:$C$716,$A$5:$A$716,A442)</f>
        <v>0.0490243665663528</v>
      </c>
    </row>
    <row r="443" customFormat="false" ht="15" hidden="false" customHeight="false" outlineLevel="0" collapsed="false">
      <c r="A443" s="7" t="s">
        <v>41</v>
      </c>
      <c r="B443" s="7" t="s">
        <v>521</v>
      </c>
      <c r="C443" s="13" t="n">
        <v>372</v>
      </c>
      <c r="D443" s="8"/>
      <c r="E443" s="12" t="n">
        <f aca="false">RANK(C443,$C$5:$C$716)</f>
        <v>132</v>
      </c>
      <c r="F443" s="12" t="n">
        <f aca="false">COUNTIFS($A$5:$A$716,A443,$C$5:$C$716,"&gt;"&amp;C443)+1</f>
        <v>4</v>
      </c>
      <c r="G443" s="9" t="n">
        <f aca="false">C443/SUMIFS($C$5:$C$716,$A$5:$A$716,A443)</f>
        <v>0.0361129987379866</v>
      </c>
    </row>
    <row r="444" customFormat="false" ht="15" hidden="false" customHeight="false" outlineLevel="0" collapsed="false">
      <c r="A444" s="7" t="s">
        <v>41</v>
      </c>
      <c r="B444" s="7" t="s">
        <v>522</v>
      </c>
      <c r="C444" s="13" t="n">
        <v>361</v>
      </c>
      <c r="D444" s="8"/>
      <c r="E444" s="12" t="n">
        <f aca="false">RANK(C444,$C$5:$C$716)</f>
        <v>134</v>
      </c>
      <c r="F444" s="12" t="n">
        <f aca="false">COUNTIFS($A$5:$A$716,A444,$C$5:$C$716,"&gt;"&amp;C444)+1</f>
        <v>5</v>
      </c>
      <c r="G444" s="9" t="n">
        <f aca="false">C444/SUMIFS($C$5:$C$716,$A$5:$A$716,A444)</f>
        <v>0.0350451412484225</v>
      </c>
    </row>
    <row r="445" customFormat="false" ht="15" hidden="false" customHeight="false" outlineLevel="0" collapsed="false">
      <c r="A445" s="7" t="s">
        <v>41</v>
      </c>
      <c r="B445" s="7" t="s">
        <v>523</v>
      </c>
      <c r="C445" s="13" t="n">
        <v>325</v>
      </c>
      <c r="D445" s="8"/>
      <c r="E445" s="12" t="n">
        <f aca="false">RANK(C445,$C$5:$C$716)</f>
        <v>146</v>
      </c>
      <c r="F445" s="12" t="n">
        <f aca="false">COUNTIFS($A$5:$A$716,A445,$C$5:$C$716,"&gt;"&amp;C445)+1</f>
        <v>6</v>
      </c>
      <c r="G445" s="9" t="n">
        <f aca="false">C445/SUMIFS($C$5:$C$716,$A$5:$A$716,A445)</f>
        <v>0.0315503349189399</v>
      </c>
    </row>
    <row r="446" customFormat="false" ht="15" hidden="false" customHeight="false" outlineLevel="0" collapsed="false">
      <c r="A446" s="7" t="s">
        <v>41</v>
      </c>
      <c r="B446" s="7" t="s">
        <v>524</v>
      </c>
      <c r="C446" s="13" t="n">
        <v>316</v>
      </c>
      <c r="D446" s="8"/>
      <c r="E446" s="12" t="n">
        <f aca="false">RANK(C446,$C$5:$C$716)</f>
        <v>147</v>
      </c>
      <c r="F446" s="12" t="n">
        <f aca="false">COUNTIFS($A$5:$A$716,A446,$C$5:$C$716,"&gt;"&amp;C446)+1</f>
        <v>7</v>
      </c>
      <c r="G446" s="9" t="n">
        <f aca="false">C446/SUMIFS($C$5:$C$716,$A$5:$A$716,A446)</f>
        <v>0.0306766333365693</v>
      </c>
    </row>
    <row r="447" customFormat="false" ht="15" hidden="false" customHeight="false" outlineLevel="0" collapsed="false">
      <c r="A447" s="7" t="s">
        <v>41</v>
      </c>
      <c r="B447" s="7" t="s">
        <v>525</v>
      </c>
      <c r="C447" s="13" t="n">
        <v>261</v>
      </c>
      <c r="D447" s="8"/>
      <c r="E447" s="12" t="n">
        <f aca="false">RANK(C447,$C$5:$C$716)</f>
        <v>172</v>
      </c>
      <c r="F447" s="12" t="n">
        <f aca="false">COUNTIFS($A$5:$A$716,A447,$C$5:$C$716,"&gt;"&amp;C447)+1</f>
        <v>8</v>
      </c>
      <c r="G447" s="9" t="n">
        <f aca="false">C447/SUMIFS($C$5:$C$716,$A$5:$A$716,A447)</f>
        <v>0.0253373458887487</v>
      </c>
    </row>
    <row r="448" customFormat="false" ht="15" hidden="false" customHeight="false" outlineLevel="0" collapsed="false">
      <c r="A448" s="7" t="s">
        <v>41</v>
      </c>
      <c r="B448" s="7" t="s">
        <v>526</v>
      </c>
      <c r="C448" s="13" t="n">
        <v>239</v>
      </c>
      <c r="D448" s="8"/>
      <c r="E448" s="12" t="n">
        <f aca="false">RANK(C448,$C$5:$C$716)</f>
        <v>186</v>
      </c>
      <c r="F448" s="12" t="n">
        <f aca="false">COUNTIFS($A$5:$A$716,A448,$C$5:$C$716,"&gt;"&amp;C448)+1</f>
        <v>9</v>
      </c>
      <c r="G448" s="9" t="n">
        <f aca="false">C448/SUMIFS($C$5:$C$716,$A$5:$A$716,A448)</f>
        <v>0.0232016309096204</v>
      </c>
    </row>
    <row r="449" customFormat="false" ht="15" hidden="false" customHeight="false" outlineLevel="0" collapsed="false">
      <c r="A449" s="7" t="s">
        <v>41</v>
      </c>
      <c r="B449" s="7" t="s">
        <v>527</v>
      </c>
      <c r="C449" s="13" t="n">
        <v>235</v>
      </c>
      <c r="D449" s="8"/>
      <c r="E449" s="12" t="n">
        <f aca="false">RANK(C449,$C$5:$C$716)</f>
        <v>190</v>
      </c>
      <c r="F449" s="12" t="n">
        <f aca="false">COUNTIFS($A$5:$A$716,A449,$C$5:$C$716,"&gt;"&amp;C449)+1</f>
        <v>10</v>
      </c>
      <c r="G449" s="9" t="n">
        <f aca="false">C449/SUMIFS($C$5:$C$716,$A$5:$A$716,A449)</f>
        <v>0.0228133190952335</v>
      </c>
    </row>
    <row r="450" customFormat="false" ht="15" hidden="false" customHeight="false" outlineLevel="0" collapsed="false">
      <c r="A450" s="7" t="s">
        <v>41</v>
      </c>
      <c r="B450" s="7" t="s">
        <v>528</v>
      </c>
      <c r="C450" s="13" t="n">
        <v>180</v>
      </c>
      <c r="D450" s="8"/>
      <c r="E450" s="12" t="n">
        <f aca="false">RANK(C450,$C$5:$C$716)</f>
        <v>245</v>
      </c>
      <c r="F450" s="12" t="n">
        <f aca="false">COUNTIFS($A$5:$A$716,A450,$C$5:$C$716,"&gt;"&amp;C450)+1</f>
        <v>11</v>
      </c>
      <c r="G450" s="9" t="n">
        <f aca="false">C450/SUMIFS($C$5:$C$716,$A$5:$A$716,A450)</f>
        <v>0.0174740316474129</v>
      </c>
    </row>
    <row r="451" customFormat="false" ht="15" hidden="false" customHeight="false" outlineLevel="0" collapsed="false">
      <c r="A451" s="7" t="s">
        <v>41</v>
      </c>
      <c r="B451" s="7" t="s">
        <v>529</v>
      </c>
      <c r="C451" s="13" t="n">
        <v>172</v>
      </c>
      <c r="D451" s="8"/>
      <c r="E451" s="12" t="n">
        <f aca="false">RANK(C451,$C$5:$C$716)</f>
        <v>259</v>
      </c>
      <c r="F451" s="12" t="n">
        <f aca="false">COUNTIFS($A$5:$A$716,A451,$C$5:$C$716,"&gt;"&amp;C451)+1</f>
        <v>12</v>
      </c>
      <c r="G451" s="9" t="n">
        <f aca="false">C451/SUMIFS($C$5:$C$716,$A$5:$A$716,A451)</f>
        <v>0.016697408018639</v>
      </c>
    </row>
    <row r="452" customFormat="false" ht="15" hidden="false" customHeight="false" outlineLevel="0" collapsed="false">
      <c r="A452" s="7" t="s">
        <v>41</v>
      </c>
      <c r="B452" s="7" t="s">
        <v>530</v>
      </c>
      <c r="C452" s="13" t="n">
        <v>163</v>
      </c>
      <c r="D452" s="8"/>
      <c r="E452" s="12" t="n">
        <f aca="false">RANK(C452,$C$5:$C$716)</f>
        <v>269</v>
      </c>
      <c r="F452" s="12" t="n">
        <f aca="false">COUNTIFS($A$5:$A$716,A452,$C$5:$C$716,"&gt;"&amp;C452)+1</f>
        <v>13</v>
      </c>
      <c r="G452" s="9" t="n">
        <f aca="false">C452/SUMIFS($C$5:$C$716,$A$5:$A$716,A452)</f>
        <v>0.0158237064362683</v>
      </c>
    </row>
    <row r="453" customFormat="false" ht="15" hidden="false" customHeight="false" outlineLevel="0" collapsed="false">
      <c r="A453" s="7" t="s">
        <v>41</v>
      </c>
      <c r="B453" s="7" t="s">
        <v>531</v>
      </c>
      <c r="C453" s="13" t="n">
        <v>161</v>
      </c>
      <c r="D453" s="8"/>
      <c r="E453" s="12" t="n">
        <f aca="false">RANK(C453,$C$5:$C$716)</f>
        <v>270</v>
      </c>
      <c r="F453" s="12" t="n">
        <f aca="false">COUNTIFS($A$5:$A$716,A453,$C$5:$C$716,"&gt;"&amp;C453)+1</f>
        <v>14</v>
      </c>
      <c r="G453" s="9" t="n">
        <f aca="false">C453/SUMIFS($C$5:$C$716,$A$5:$A$716,A453)</f>
        <v>0.0156295505290748</v>
      </c>
    </row>
    <row r="454" customFormat="false" ht="15" hidden="false" customHeight="false" outlineLevel="0" collapsed="false">
      <c r="A454" s="7" t="s">
        <v>41</v>
      </c>
      <c r="B454" s="7" t="s">
        <v>532</v>
      </c>
      <c r="C454" s="13" t="n">
        <v>156</v>
      </c>
      <c r="D454" s="8"/>
      <c r="E454" s="12" t="n">
        <f aca="false">RANK(C454,$C$5:$C$716)</f>
        <v>279</v>
      </c>
      <c r="F454" s="12" t="n">
        <f aca="false">COUNTIFS($A$5:$A$716,A454,$C$5:$C$716,"&gt;"&amp;C454)+1</f>
        <v>15</v>
      </c>
      <c r="G454" s="9" t="n">
        <f aca="false">C454/SUMIFS($C$5:$C$716,$A$5:$A$716,A454)</f>
        <v>0.0151441607610912</v>
      </c>
    </row>
    <row r="455" customFormat="false" ht="15" hidden="false" customHeight="false" outlineLevel="0" collapsed="false">
      <c r="A455" s="7" t="s">
        <v>41</v>
      </c>
      <c r="B455" s="7" t="s">
        <v>533</v>
      </c>
      <c r="C455" s="13" t="n">
        <v>149</v>
      </c>
      <c r="D455" s="8"/>
      <c r="E455" s="12" t="n">
        <f aca="false">RANK(C455,$C$5:$C$716)</f>
        <v>292</v>
      </c>
      <c r="F455" s="12" t="n">
        <f aca="false">COUNTIFS($A$5:$A$716,A455,$C$5:$C$716,"&gt;"&amp;C455)+1</f>
        <v>16</v>
      </c>
      <c r="G455" s="9" t="n">
        <f aca="false">C455/SUMIFS($C$5:$C$716,$A$5:$A$716,A455)</f>
        <v>0.014464615085914</v>
      </c>
    </row>
    <row r="456" customFormat="false" ht="15" hidden="false" customHeight="false" outlineLevel="0" collapsed="false">
      <c r="A456" s="7" t="s">
        <v>41</v>
      </c>
      <c r="B456" s="7" t="s">
        <v>534</v>
      </c>
      <c r="C456" s="13" t="n">
        <v>137</v>
      </c>
      <c r="D456" s="8"/>
      <c r="E456" s="12" t="n">
        <f aca="false">RANK(C456,$C$5:$C$716)</f>
        <v>310</v>
      </c>
      <c r="F456" s="12" t="n">
        <f aca="false">COUNTIFS($A$5:$A$716,A456,$C$5:$C$716,"&gt;"&amp;C456)+1</f>
        <v>17</v>
      </c>
      <c r="G456" s="9" t="n">
        <f aca="false">C456/SUMIFS($C$5:$C$716,$A$5:$A$716,A456)</f>
        <v>0.0132996796427531</v>
      </c>
    </row>
    <row r="457" customFormat="false" ht="15" hidden="false" customHeight="false" outlineLevel="0" collapsed="false">
      <c r="A457" s="7" t="s">
        <v>41</v>
      </c>
      <c r="B457" s="7" t="s">
        <v>535</v>
      </c>
      <c r="C457" s="13" t="n">
        <v>127</v>
      </c>
      <c r="D457" s="8"/>
      <c r="E457" s="12" t="n">
        <f aca="false">RANK(C457,$C$5:$C$716)</f>
        <v>332</v>
      </c>
      <c r="F457" s="12" t="n">
        <f aca="false">COUNTIFS($A$5:$A$716,A457,$C$5:$C$716,"&gt;"&amp;C457)+1</f>
        <v>18</v>
      </c>
      <c r="G457" s="9" t="n">
        <f aca="false">C457/SUMIFS($C$5:$C$716,$A$5:$A$716,A457)</f>
        <v>0.0123289001067857</v>
      </c>
    </row>
    <row r="458" customFormat="false" ht="15" hidden="false" customHeight="false" outlineLevel="0" collapsed="false">
      <c r="A458" s="7" t="s">
        <v>41</v>
      </c>
      <c r="B458" s="7" t="s">
        <v>536</v>
      </c>
      <c r="C458" s="13" t="n">
        <v>123</v>
      </c>
      <c r="D458" s="8"/>
      <c r="E458" s="12" t="n">
        <f aca="false">RANK(C458,$C$5:$C$716)</f>
        <v>340</v>
      </c>
      <c r="F458" s="12" t="n">
        <f aca="false">COUNTIFS($A$5:$A$716,A458,$C$5:$C$716,"&gt;"&amp;C458)+1</f>
        <v>19</v>
      </c>
      <c r="G458" s="9" t="n">
        <f aca="false">C458/SUMIFS($C$5:$C$716,$A$5:$A$716,A458)</f>
        <v>0.0119405882923988</v>
      </c>
    </row>
    <row r="459" customFormat="false" ht="15" hidden="false" customHeight="false" outlineLevel="0" collapsed="false">
      <c r="A459" s="7" t="s">
        <v>41</v>
      </c>
      <c r="B459" s="7" t="s">
        <v>537</v>
      </c>
      <c r="C459" s="13" t="n">
        <v>121</v>
      </c>
      <c r="D459" s="8"/>
      <c r="E459" s="12" t="n">
        <f aca="false">RANK(C459,$C$5:$C$716)</f>
        <v>345</v>
      </c>
      <c r="F459" s="12" t="n">
        <f aca="false">COUNTIFS($A$5:$A$716,A459,$C$5:$C$716,"&gt;"&amp;C459)+1</f>
        <v>20</v>
      </c>
      <c r="G459" s="9" t="n">
        <f aca="false">C459/SUMIFS($C$5:$C$716,$A$5:$A$716,A459)</f>
        <v>0.0117464323852053</v>
      </c>
    </row>
    <row r="460" customFormat="false" ht="15" hidden="false" customHeight="false" outlineLevel="0" collapsed="false">
      <c r="A460" s="7" t="s">
        <v>41</v>
      </c>
      <c r="B460" s="7" t="s">
        <v>538</v>
      </c>
      <c r="C460" s="13" t="n">
        <v>114</v>
      </c>
      <c r="D460" s="8"/>
      <c r="E460" s="12" t="n">
        <f aca="false">RANK(C460,$C$5:$C$716)</f>
        <v>362</v>
      </c>
      <c r="F460" s="12" t="n">
        <f aca="false">COUNTIFS($A$5:$A$716,A460,$C$5:$C$716,"&gt;"&amp;C460)+1</f>
        <v>21</v>
      </c>
      <c r="G460" s="9" t="n">
        <f aca="false">C460/SUMIFS($C$5:$C$716,$A$5:$A$716,A460)</f>
        <v>0.0110668867100282</v>
      </c>
    </row>
    <row r="461" customFormat="false" ht="15" hidden="false" customHeight="false" outlineLevel="0" collapsed="false">
      <c r="A461" s="7" t="s">
        <v>41</v>
      </c>
      <c r="B461" s="7" t="s">
        <v>539</v>
      </c>
      <c r="C461" s="13" t="n">
        <v>114</v>
      </c>
      <c r="D461" s="8"/>
      <c r="E461" s="12" t="n">
        <f aca="false">RANK(C461,$C$5:$C$716)</f>
        <v>362</v>
      </c>
      <c r="F461" s="12" t="n">
        <f aca="false">COUNTIFS($A$5:$A$716,A461,$C$5:$C$716,"&gt;"&amp;C461)+1</f>
        <v>21</v>
      </c>
      <c r="G461" s="9" t="n">
        <f aca="false">C461/SUMIFS($C$5:$C$716,$A$5:$A$716,A461)</f>
        <v>0.0110668867100282</v>
      </c>
    </row>
    <row r="462" customFormat="false" ht="15" hidden="false" customHeight="false" outlineLevel="0" collapsed="false">
      <c r="A462" s="7" t="s">
        <v>41</v>
      </c>
      <c r="B462" s="7" t="s">
        <v>540</v>
      </c>
      <c r="C462" s="13" t="n">
        <v>111</v>
      </c>
      <c r="D462" s="8"/>
      <c r="E462" s="12" t="n">
        <f aca="false">RANK(C462,$C$5:$C$716)</f>
        <v>368</v>
      </c>
      <c r="F462" s="12" t="n">
        <f aca="false">COUNTIFS($A$5:$A$716,A462,$C$5:$C$716,"&gt;"&amp;C462)+1</f>
        <v>23</v>
      </c>
      <c r="G462" s="9" t="n">
        <f aca="false">C462/SUMIFS($C$5:$C$716,$A$5:$A$716,A462)</f>
        <v>0.0107756528492379</v>
      </c>
    </row>
    <row r="463" customFormat="false" ht="15" hidden="false" customHeight="false" outlineLevel="0" collapsed="false">
      <c r="A463" s="7" t="s">
        <v>41</v>
      </c>
      <c r="B463" s="7" t="s">
        <v>541</v>
      </c>
      <c r="C463" s="13" t="n">
        <v>111</v>
      </c>
      <c r="D463" s="8"/>
      <c r="E463" s="12" t="n">
        <f aca="false">RANK(C463,$C$5:$C$716)</f>
        <v>368</v>
      </c>
      <c r="F463" s="12" t="n">
        <f aca="false">COUNTIFS($A$5:$A$716,A463,$C$5:$C$716,"&gt;"&amp;C463)+1</f>
        <v>23</v>
      </c>
      <c r="G463" s="9" t="n">
        <f aca="false">C463/SUMIFS($C$5:$C$716,$A$5:$A$716,A463)</f>
        <v>0.0107756528492379</v>
      </c>
    </row>
    <row r="464" customFormat="false" ht="15" hidden="false" customHeight="false" outlineLevel="0" collapsed="false">
      <c r="A464" s="7" t="s">
        <v>41</v>
      </c>
      <c r="B464" s="7" t="s">
        <v>542</v>
      </c>
      <c r="C464" s="13" t="n">
        <v>103</v>
      </c>
      <c r="D464" s="8"/>
      <c r="E464" s="12" t="n">
        <f aca="false">RANK(C464,$C$5:$C$716)</f>
        <v>388</v>
      </c>
      <c r="F464" s="12" t="n">
        <f aca="false">COUNTIFS($A$5:$A$716,A464,$C$5:$C$716,"&gt;"&amp;C464)+1</f>
        <v>25</v>
      </c>
      <c r="G464" s="9" t="n">
        <f aca="false">C464/SUMIFS($C$5:$C$716,$A$5:$A$716,A464)</f>
        <v>0.00999902922046403</v>
      </c>
    </row>
    <row r="465" customFormat="false" ht="15" hidden="false" customHeight="false" outlineLevel="0" collapsed="false">
      <c r="A465" s="7" t="s">
        <v>41</v>
      </c>
      <c r="B465" s="7" t="s">
        <v>543</v>
      </c>
      <c r="C465" s="13" t="n">
        <v>101</v>
      </c>
      <c r="D465" s="8"/>
      <c r="E465" s="12" t="n">
        <f aca="false">RANK(C465,$C$5:$C$716)</f>
        <v>393</v>
      </c>
      <c r="F465" s="12" t="n">
        <f aca="false">COUNTIFS($A$5:$A$716,A465,$C$5:$C$716,"&gt;"&amp;C465)+1</f>
        <v>26</v>
      </c>
      <c r="G465" s="9" t="n">
        <f aca="false">C465/SUMIFS($C$5:$C$716,$A$5:$A$716,A465)</f>
        <v>0.00980487331327056</v>
      </c>
    </row>
    <row r="466" customFormat="false" ht="15" hidden="false" customHeight="false" outlineLevel="0" collapsed="false">
      <c r="A466" s="7" t="s">
        <v>41</v>
      </c>
      <c r="B466" s="7" t="s">
        <v>544</v>
      </c>
      <c r="C466" s="13" t="n">
        <v>99</v>
      </c>
      <c r="D466" s="8"/>
      <c r="E466" s="12" t="n">
        <f aca="false">RANK(C466,$C$5:$C$716)</f>
        <v>398</v>
      </c>
      <c r="F466" s="12" t="n">
        <f aca="false">COUNTIFS($A$5:$A$716,A466,$C$5:$C$716,"&gt;"&amp;C466)+1</f>
        <v>27</v>
      </c>
      <c r="G466" s="9" t="n">
        <f aca="false">C466/SUMIFS($C$5:$C$716,$A$5:$A$716,A466)</f>
        <v>0.00961071740607708</v>
      </c>
    </row>
    <row r="467" customFormat="false" ht="15" hidden="false" customHeight="false" outlineLevel="0" collapsed="false">
      <c r="A467" s="7" t="s">
        <v>41</v>
      </c>
      <c r="B467" s="7" t="s">
        <v>545</v>
      </c>
      <c r="C467" s="13" t="n">
        <v>95</v>
      </c>
      <c r="D467" s="8"/>
      <c r="E467" s="12" t="n">
        <f aca="false">RANK(C467,$C$5:$C$716)</f>
        <v>408</v>
      </c>
      <c r="F467" s="12" t="n">
        <f aca="false">COUNTIFS($A$5:$A$716,A467,$C$5:$C$716,"&gt;"&amp;C467)+1</f>
        <v>28</v>
      </c>
      <c r="G467" s="9" t="n">
        <f aca="false">C467/SUMIFS($C$5:$C$716,$A$5:$A$716,A467)</f>
        <v>0.00922240559169013</v>
      </c>
    </row>
    <row r="468" customFormat="false" ht="15" hidden="false" customHeight="false" outlineLevel="0" collapsed="false">
      <c r="A468" s="7" t="s">
        <v>41</v>
      </c>
      <c r="B468" s="7" t="s">
        <v>546</v>
      </c>
      <c r="C468" s="13" t="n">
        <v>94</v>
      </c>
      <c r="D468" s="8"/>
      <c r="E468" s="12" t="n">
        <f aca="false">RANK(C468,$C$5:$C$716)</f>
        <v>410</v>
      </c>
      <c r="F468" s="12" t="n">
        <f aca="false">COUNTIFS($A$5:$A$716,A468,$C$5:$C$716,"&gt;"&amp;C468)+1</f>
        <v>29</v>
      </c>
      <c r="G468" s="9" t="n">
        <f aca="false">C468/SUMIFS($C$5:$C$716,$A$5:$A$716,A468)</f>
        <v>0.00912532763809339</v>
      </c>
    </row>
    <row r="469" customFormat="false" ht="15" hidden="false" customHeight="false" outlineLevel="0" collapsed="false">
      <c r="A469" s="7" t="s">
        <v>41</v>
      </c>
      <c r="B469" s="7" t="s">
        <v>547</v>
      </c>
      <c r="C469" s="13" t="n">
        <v>79</v>
      </c>
      <c r="D469" s="8"/>
      <c r="E469" s="12" t="n">
        <f aca="false">RANK(C469,$C$5:$C$716)</f>
        <v>456</v>
      </c>
      <c r="F469" s="12" t="n">
        <f aca="false">COUNTIFS($A$5:$A$716,A469,$C$5:$C$716,"&gt;"&amp;C469)+1</f>
        <v>30</v>
      </c>
      <c r="G469" s="9" t="n">
        <f aca="false">C469/SUMIFS($C$5:$C$716,$A$5:$A$716,A469)</f>
        <v>0.00766915833414232</v>
      </c>
    </row>
    <row r="470" customFormat="false" ht="15" hidden="false" customHeight="false" outlineLevel="0" collapsed="false">
      <c r="A470" s="7" t="s">
        <v>41</v>
      </c>
      <c r="B470" s="7" t="s">
        <v>548</v>
      </c>
      <c r="C470" s="13" t="n">
        <v>74</v>
      </c>
      <c r="D470" s="8"/>
      <c r="E470" s="12" t="n">
        <f aca="false">RANK(C470,$C$5:$C$716)</f>
        <v>472</v>
      </c>
      <c r="F470" s="12" t="n">
        <f aca="false">COUNTIFS($A$5:$A$716,A470,$C$5:$C$716,"&gt;"&amp;C470)+1</f>
        <v>31</v>
      </c>
      <c r="G470" s="9" t="n">
        <f aca="false">C470/SUMIFS($C$5:$C$716,$A$5:$A$716,A470)</f>
        <v>0.00718376856615863</v>
      </c>
    </row>
    <row r="471" customFormat="false" ht="15" hidden="false" customHeight="false" outlineLevel="0" collapsed="false">
      <c r="A471" s="7" t="s">
        <v>41</v>
      </c>
      <c r="B471" s="7" t="s">
        <v>549</v>
      </c>
      <c r="C471" s="13" t="n">
        <v>66</v>
      </c>
      <c r="D471" s="8"/>
      <c r="E471" s="12" t="n">
        <f aca="false">RANK(C471,$C$5:$C$716)</f>
        <v>500</v>
      </c>
      <c r="F471" s="12" t="n">
        <f aca="false">COUNTIFS($A$5:$A$716,A471,$C$5:$C$716,"&gt;"&amp;C471)+1</f>
        <v>32</v>
      </c>
      <c r="G471" s="9" t="n">
        <f aca="false">C471/SUMIFS($C$5:$C$716,$A$5:$A$716,A471)</f>
        <v>0.00640714493738472</v>
      </c>
    </row>
    <row r="472" customFormat="false" ht="15" hidden="false" customHeight="false" outlineLevel="0" collapsed="false">
      <c r="A472" s="7" t="s">
        <v>41</v>
      </c>
      <c r="B472" s="7" t="s">
        <v>550</v>
      </c>
      <c r="C472" s="13" t="n">
        <v>63</v>
      </c>
      <c r="D472" s="8"/>
      <c r="E472" s="12" t="n">
        <f aca="false">RANK(C472,$C$5:$C$716)</f>
        <v>511</v>
      </c>
      <c r="F472" s="12" t="n">
        <f aca="false">COUNTIFS($A$5:$A$716,A472,$C$5:$C$716,"&gt;"&amp;C472)+1</f>
        <v>33</v>
      </c>
      <c r="G472" s="9" t="n">
        <f aca="false">C472/SUMIFS($C$5:$C$716,$A$5:$A$716,A472)</f>
        <v>0.00611591107659451</v>
      </c>
    </row>
    <row r="473" customFormat="false" ht="15" hidden="false" customHeight="false" outlineLevel="0" collapsed="false">
      <c r="A473" s="7" t="s">
        <v>41</v>
      </c>
      <c r="B473" s="7" t="s">
        <v>551</v>
      </c>
      <c r="C473" s="13" t="n">
        <v>63</v>
      </c>
      <c r="D473" s="8"/>
      <c r="E473" s="12" t="n">
        <f aca="false">RANK(C473,$C$5:$C$716)</f>
        <v>511</v>
      </c>
      <c r="F473" s="12" t="n">
        <f aca="false">COUNTIFS($A$5:$A$716,A473,$C$5:$C$716,"&gt;"&amp;C473)+1</f>
        <v>33</v>
      </c>
      <c r="G473" s="9" t="n">
        <f aca="false">C473/SUMIFS($C$5:$C$716,$A$5:$A$716,A473)</f>
        <v>0.00611591107659451</v>
      </c>
    </row>
    <row r="474" customFormat="false" ht="15" hidden="false" customHeight="false" outlineLevel="0" collapsed="false">
      <c r="A474" s="7" t="s">
        <v>41</v>
      </c>
      <c r="B474" s="7" t="s">
        <v>552</v>
      </c>
      <c r="C474" s="13" t="n">
        <v>63</v>
      </c>
      <c r="D474" s="8"/>
      <c r="E474" s="12" t="n">
        <f aca="false">RANK(C474,$C$5:$C$716)</f>
        <v>511</v>
      </c>
      <c r="F474" s="12" t="n">
        <f aca="false">COUNTIFS($A$5:$A$716,A474,$C$5:$C$716,"&gt;"&amp;C474)+1</f>
        <v>33</v>
      </c>
      <c r="G474" s="9" t="n">
        <f aca="false">C474/SUMIFS($C$5:$C$716,$A$5:$A$716,A474)</f>
        <v>0.00611591107659451</v>
      </c>
    </row>
    <row r="475" customFormat="false" ht="15" hidden="false" customHeight="false" outlineLevel="0" collapsed="false">
      <c r="A475" s="7" t="s">
        <v>41</v>
      </c>
      <c r="B475" s="7" t="s">
        <v>553</v>
      </c>
      <c r="C475" s="13" t="n">
        <v>62</v>
      </c>
      <c r="D475" s="8"/>
      <c r="E475" s="12" t="n">
        <f aca="false">RANK(C475,$C$5:$C$716)</f>
        <v>516</v>
      </c>
      <c r="F475" s="12" t="n">
        <f aca="false">COUNTIFS($A$5:$A$716,A475,$C$5:$C$716,"&gt;"&amp;C475)+1</f>
        <v>36</v>
      </c>
      <c r="G475" s="9" t="n">
        <f aca="false">C475/SUMIFS($C$5:$C$716,$A$5:$A$716,A475)</f>
        <v>0.00601883312299777</v>
      </c>
    </row>
    <row r="476" customFormat="false" ht="15" hidden="false" customHeight="false" outlineLevel="0" collapsed="false">
      <c r="A476" s="7" t="s">
        <v>41</v>
      </c>
      <c r="B476" s="7" t="s">
        <v>554</v>
      </c>
      <c r="C476" s="13" t="n">
        <v>59</v>
      </c>
      <c r="D476" s="8"/>
      <c r="E476" s="12" t="n">
        <f aca="false">RANK(C476,$C$5:$C$716)</f>
        <v>526</v>
      </c>
      <c r="F476" s="12" t="n">
        <f aca="false">COUNTIFS($A$5:$A$716,A476,$C$5:$C$716,"&gt;"&amp;C476)+1</f>
        <v>37</v>
      </c>
      <c r="G476" s="9" t="n">
        <f aca="false">C476/SUMIFS($C$5:$C$716,$A$5:$A$716,A476)</f>
        <v>0.00572759926220755</v>
      </c>
    </row>
    <row r="477" customFormat="false" ht="15" hidden="false" customHeight="false" outlineLevel="0" collapsed="false">
      <c r="A477" s="7" t="s">
        <v>41</v>
      </c>
      <c r="B477" s="7" t="s">
        <v>555</v>
      </c>
      <c r="C477" s="13" t="n">
        <v>57</v>
      </c>
      <c r="D477" s="8"/>
      <c r="E477" s="12" t="n">
        <f aca="false">RANK(C477,$C$5:$C$716)</f>
        <v>532</v>
      </c>
      <c r="F477" s="12" t="n">
        <f aca="false">COUNTIFS($A$5:$A$716,A477,$C$5:$C$716,"&gt;"&amp;C477)+1</f>
        <v>38</v>
      </c>
      <c r="G477" s="9" t="n">
        <f aca="false">C477/SUMIFS($C$5:$C$716,$A$5:$A$716,A477)</f>
        <v>0.00553344335501408</v>
      </c>
    </row>
    <row r="478" customFormat="false" ht="15" hidden="false" customHeight="false" outlineLevel="0" collapsed="false">
      <c r="A478" s="7" t="s">
        <v>41</v>
      </c>
      <c r="B478" s="7" t="s">
        <v>556</v>
      </c>
      <c r="C478" s="13" t="n">
        <v>49</v>
      </c>
      <c r="D478" s="8"/>
      <c r="E478" s="12" t="n">
        <f aca="false">RANK(C478,$C$5:$C$716)</f>
        <v>561</v>
      </c>
      <c r="F478" s="12" t="n">
        <f aca="false">COUNTIFS($A$5:$A$716,A478,$C$5:$C$716,"&gt;"&amp;C478)+1</f>
        <v>39</v>
      </c>
      <c r="G478" s="9" t="n">
        <f aca="false">C478/SUMIFS($C$5:$C$716,$A$5:$A$716,A478)</f>
        <v>0.00475681972624017</v>
      </c>
    </row>
    <row r="479" customFormat="false" ht="15" hidden="false" customHeight="false" outlineLevel="0" collapsed="false">
      <c r="A479" s="7" t="s">
        <v>41</v>
      </c>
      <c r="B479" s="7" t="s">
        <v>557</v>
      </c>
      <c r="C479" s="13" t="n">
        <v>47</v>
      </c>
      <c r="D479" s="8"/>
      <c r="E479" s="12" t="n">
        <f aca="false">RANK(C479,$C$5:$C$716)</f>
        <v>575</v>
      </c>
      <c r="F479" s="12" t="n">
        <f aca="false">COUNTIFS($A$5:$A$716,A479,$C$5:$C$716,"&gt;"&amp;C479)+1</f>
        <v>40</v>
      </c>
      <c r="G479" s="9" t="n">
        <f aca="false">C479/SUMIFS($C$5:$C$716,$A$5:$A$716,A479)</f>
        <v>0.0045626638190467</v>
      </c>
    </row>
    <row r="480" customFormat="false" ht="15" hidden="false" customHeight="false" outlineLevel="0" collapsed="false">
      <c r="A480" s="7" t="s">
        <v>41</v>
      </c>
      <c r="B480" s="7" t="s">
        <v>558</v>
      </c>
      <c r="C480" s="13" t="n">
        <v>34</v>
      </c>
      <c r="D480" s="8"/>
      <c r="E480" s="12" t="n">
        <f aca="false">RANK(C480,$C$5:$C$716)</f>
        <v>655</v>
      </c>
      <c r="F480" s="12" t="n">
        <f aca="false">COUNTIFS($A$5:$A$716,A480,$C$5:$C$716,"&gt;"&amp;C480)+1</f>
        <v>41</v>
      </c>
      <c r="G480" s="9" t="n">
        <f aca="false">C480/SUMIFS($C$5:$C$716,$A$5:$A$716,A480)</f>
        <v>0.0033006504222891</v>
      </c>
    </row>
    <row r="481" customFormat="false" ht="15" hidden="false" customHeight="false" outlineLevel="0" collapsed="false">
      <c r="A481" s="7" t="s">
        <v>41</v>
      </c>
      <c r="B481" s="7" t="s">
        <v>559</v>
      </c>
      <c r="C481" s="13" t="n">
        <v>29</v>
      </c>
      <c r="D481" s="8"/>
      <c r="E481" s="12" t="n">
        <f aca="false">RANK(C481,$C$5:$C$716)</f>
        <v>690</v>
      </c>
      <c r="F481" s="12" t="n">
        <f aca="false">COUNTIFS($A$5:$A$716,A481,$C$5:$C$716,"&gt;"&amp;C481)+1</f>
        <v>42</v>
      </c>
      <c r="G481" s="9" t="n">
        <f aca="false">C481/SUMIFS($C$5:$C$716,$A$5:$A$716,A481)</f>
        <v>0.00281526065430541</v>
      </c>
    </row>
    <row r="482" customFormat="false" ht="15" hidden="false" customHeight="false" outlineLevel="0" collapsed="false">
      <c r="A482" s="7" t="s">
        <v>42</v>
      </c>
      <c r="B482" s="7" t="s">
        <v>560</v>
      </c>
      <c r="C482" s="13" t="n">
        <v>2304</v>
      </c>
      <c r="D482" s="8"/>
      <c r="E482" s="12" t="n">
        <f aca="false">RANK(C482,$C$5:$C$716)</f>
        <v>28</v>
      </c>
      <c r="F482" s="12" t="n">
        <f aca="false">COUNTIFS($A$5:$A$716,A482,$C$5:$C$716,"&gt;"&amp;C482)+1</f>
        <v>1</v>
      </c>
      <c r="G482" s="9" t="n">
        <f aca="false">C482/SUMIFS($C$5:$C$716,$A$5:$A$716,A482)</f>
        <v>0.247342995169082</v>
      </c>
    </row>
    <row r="483" customFormat="false" ht="15" hidden="false" customHeight="false" outlineLevel="0" collapsed="false">
      <c r="A483" s="7" t="s">
        <v>42</v>
      </c>
      <c r="B483" s="7" t="s">
        <v>561</v>
      </c>
      <c r="C483" s="13" t="n">
        <v>956</v>
      </c>
      <c r="D483" s="8"/>
      <c r="E483" s="12" t="n">
        <f aca="false">RANK(C483,$C$5:$C$716)</f>
        <v>56</v>
      </c>
      <c r="F483" s="12" t="n">
        <f aca="false">COUNTIFS($A$5:$A$716,A483,$C$5:$C$716,"&gt;"&amp;C483)+1</f>
        <v>2</v>
      </c>
      <c r="G483" s="9" t="n">
        <f aca="false">C483/SUMIFS($C$5:$C$716,$A$5:$A$716,A483)</f>
        <v>0.102630166398282</v>
      </c>
    </row>
    <row r="484" customFormat="false" ht="15" hidden="false" customHeight="false" outlineLevel="0" collapsed="false">
      <c r="A484" s="7" t="s">
        <v>42</v>
      </c>
      <c r="B484" s="7" t="s">
        <v>562</v>
      </c>
      <c r="C484" s="13" t="n">
        <v>729</v>
      </c>
      <c r="D484" s="8"/>
      <c r="E484" s="12" t="n">
        <f aca="false">RANK(C484,$C$5:$C$716)</f>
        <v>68</v>
      </c>
      <c r="F484" s="12" t="n">
        <f aca="false">COUNTIFS($A$5:$A$716,A484,$C$5:$C$716,"&gt;"&amp;C484)+1</f>
        <v>3</v>
      </c>
      <c r="G484" s="9" t="n">
        <f aca="false">C484/SUMIFS($C$5:$C$716,$A$5:$A$716,A484)</f>
        <v>0.0782608695652174</v>
      </c>
    </row>
    <row r="485" customFormat="false" ht="15" hidden="false" customHeight="false" outlineLevel="0" collapsed="false">
      <c r="A485" s="7" t="s">
        <v>42</v>
      </c>
      <c r="B485" s="7" t="s">
        <v>563</v>
      </c>
      <c r="C485" s="13" t="n">
        <v>695</v>
      </c>
      <c r="D485" s="8"/>
      <c r="E485" s="12" t="n">
        <f aca="false">RANK(C485,$C$5:$C$716)</f>
        <v>74</v>
      </c>
      <c r="F485" s="12" t="n">
        <f aca="false">COUNTIFS($A$5:$A$716,A485,$C$5:$C$716,"&gt;"&amp;C485)+1</f>
        <v>4</v>
      </c>
      <c r="G485" s="9" t="n">
        <f aca="false">C485/SUMIFS($C$5:$C$716,$A$5:$A$716,A485)</f>
        <v>0.0746108427267848</v>
      </c>
    </row>
    <row r="486" customFormat="false" ht="15" hidden="false" customHeight="false" outlineLevel="0" collapsed="false">
      <c r="A486" s="7" t="s">
        <v>42</v>
      </c>
      <c r="B486" s="7" t="s">
        <v>564</v>
      </c>
      <c r="C486" s="13" t="n">
        <v>428</v>
      </c>
      <c r="D486" s="8"/>
      <c r="E486" s="12" t="n">
        <f aca="false">RANK(C486,$C$5:$C$716)</f>
        <v>116</v>
      </c>
      <c r="F486" s="12" t="n">
        <f aca="false">COUNTIFS($A$5:$A$716,A486,$C$5:$C$716,"&gt;"&amp;C486)+1</f>
        <v>5</v>
      </c>
      <c r="G486" s="9" t="n">
        <f aca="false">C486/SUMIFS($C$5:$C$716,$A$5:$A$716,A486)</f>
        <v>0.0459473966720344</v>
      </c>
    </row>
    <row r="487" customFormat="false" ht="15" hidden="false" customHeight="false" outlineLevel="0" collapsed="false">
      <c r="A487" s="7" t="s">
        <v>42</v>
      </c>
      <c r="B487" s="7" t="s">
        <v>565</v>
      </c>
      <c r="C487" s="13" t="n">
        <v>403</v>
      </c>
      <c r="D487" s="8"/>
      <c r="E487" s="12" t="n">
        <f aca="false">RANK(C487,$C$5:$C$716)</f>
        <v>122</v>
      </c>
      <c r="F487" s="12" t="n">
        <f aca="false">COUNTIFS($A$5:$A$716,A487,$C$5:$C$716,"&gt;"&amp;C487)+1</f>
        <v>6</v>
      </c>
      <c r="G487" s="9" t="n">
        <f aca="false">C487/SUMIFS($C$5:$C$716,$A$5:$A$716,A487)</f>
        <v>0.043263553408481</v>
      </c>
    </row>
    <row r="488" customFormat="false" ht="15" hidden="false" customHeight="false" outlineLevel="0" collapsed="false">
      <c r="A488" s="7" t="s">
        <v>42</v>
      </c>
      <c r="B488" s="7" t="s">
        <v>566</v>
      </c>
      <c r="C488" s="13" t="n">
        <v>386</v>
      </c>
      <c r="D488" s="8"/>
      <c r="E488" s="12" t="n">
        <f aca="false">RANK(C488,$C$5:$C$716)</f>
        <v>128</v>
      </c>
      <c r="F488" s="12" t="n">
        <f aca="false">COUNTIFS($A$5:$A$716,A488,$C$5:$C$716,"&gt;"&amp;C488)+1</f>
        <v>7</v>
      </c>
      <c r="G488" s="9" t="n">
        <f aca="false">C488/SUMIFS($C$5:$C$716,$A$5:$A$716,A488)</f>
        <v>0.0414385399892646</v>
      </c>
    </row>
    <row r="489" customFormat="false" ht="15" hidden="false" customHeight="false" outlineLevel="0" collapsed="false">
      <c r="A489" s="7" t="s">
        <v>42</v>
      </c>
      <c r="B489" s="7" t="s">
        <v>567</v>
      </c>
      <c r="C489" s="13" t="n">
        <v>339</v>
      </c>
      <c r="D489" s="8"/>
      <c r="E489" s="12" t="n">
        <f aca="false">RANK(C489,$C$5:$C$716)</f>
        <v>140</v>
      </c>
      <c r="F489" s="12" t="n">
        <f aca="false">COUNTIFS($A$5:$A$716,A489,$C$5:$C$716,"&gt;"&amp;C489)+1</f>
        <v>8</v>
      </c>
      <c r="G489" s="9" t="n">
        <f aca="false">C489/SUMIFS($C$5:$C$716,$A$5:$A$716,A489)</f>
        <v>0.0363929146537842</v>
      </c>
    </row>
    <row r="490" customFormat="false" ht="15" hidden="false" customHeight="false" outlineLevel="0" collapsed="false">
      <c r="A490" s="7" t="s">
        <v>42</v>
      </c>
      <c r="B490" s="7" t="s">
        <v>568</v>
      </c>
      <c r="C490" s="13" t="n">
        <v>285</v>
      </c>
      <c r="D490" s="8"/>
      <c r="E490" s="12" t="n">
        <f aca="false">RANK(C490,$C$5:$C$716)</f>
        <v>156</v>
      </c>
      <c r="F490" s="12" t="n">
        <f aca="false">COUNTIFS($A$5:$A$716,A490,$C$5:$C$716,"&gt;"&amp;C490)+1</f>
        <v>9</v>
      </c>
      <c r="G490" s="9" t="n">
        <f aca="false">C490/SUMIFS($C$5:$C$716,$A$5:$A$716,A490)</f>
        <v>0.0305958132045089</v>
      </c>
    </row>
    <row r="491" customFormat="false" ht="15" hidden="false" customHeight="false" outlineLevel="0" collapsed="false">
      <c r="A491" s="7" t="s">
        <v>42</v>
      </c>
      <c r="B491" s="7" t="s">
        <v>569</v>
      </c>
      <c r="C491" s="13" t="n">
        <v>250</v>
      </c>
      <c r="D491" s="8"/>
      <c r="E491" s="12" t="n">
        <f aca="false">RANK(C491,$C$5:$C$716)</f>
        <v>176</v>
      </c>
      <c r="F491" s="12" t="n">
        <f aca="false">COUNTIFS($A$5:$A$716,A491,$C$5:$C$716,"&gt;"&amp;C491)+1</f>
        <v>10</v>
      </c>
      <c r="G491" s="9" t="n">
        <f aca="false">C491/SUMIFS($C$5:$C$716,$A$5:$A$716,A491)</f>
        <v>0.0268384326355341</v>
      </c>
    </row>
    <row r="492" customFormat="false" ht="15" hidden="false" customHeight="false" outlineLevel="0" collapsed="false">
      <c r="A492" s="7" t="s">
        <v>42</v>
      </c>
      <c r="B492" s="7" t="s">
        <v>570</v>
      </c>
      <c r="C492" s="13" t="n">
        <v>247</v>
      </c>
      <c r="D492" s="8"/>
      <c r="E492" s="12" t="n">
        <f aca="false">RANK(C492,$C$5:$C$716)</f>
        <v>180</v>
      </c>
      <c r="F492" s="12" t="n">
        <f aca="false">COUNTIFS($A$5:$A$716,A492,$C$5:$C$716,"&gt;"&amp;C492)+1</f>
        <v>11</v>
      </c>
      <c r="G492" s="9" t="n">
        <f aca="false">C492/SUMIFS($C$5:$C$716,$A$5:$A$716,A492)</f>
        <v>0.0265163714439077</v>
      </c>
    </row>
    <row r="493" customFormat="false" ht="15" hidden="false" customHeight="false" outlineLevel="0" collapsed="false">
      <c r="A493" s="7" t="s">
        <v>42</v>
      </c>
      <c r="B493" s="7" t="s">
        <v>571</v>
      </c>
      <c r="C493" s="13" t="n">
        <v>200</v>
      </c>
      <c r="D493" s="8"/>
      <c r="E493" s="12" t="n">
        <f aca="false">RANK(C493,$C$5:$C$716)</f>
        <v>231</v>
      </c>
      <c r="F493" s="12" t="n">
        <f aca="false">COUNTIFS($A$5:$A$716,A493,$C$5:$C$716,"&gt;"&amp;C493)+1</f>
        <v>12</v>
      </c>
      <c r="G493" s="9" t="n">
        <f aca="false">C493/SUMIFS($C$5:$C$716,$A$5:$A$716,A493)</f>
        <v>0.0214707461084273</v>
      </c>
    </row>
    <row r="494" customFormat="false" ht="15" hidden="false" customHeight="false" outlineLevel="0" collapsed="false">
      <c r="A494" s="7" t="s">
        <v>42</v>
      </c>
      <c r="B494" s="7" t="s">
        <v>572</v>
      </c>
      <c r="C494" s="13" t="n">
        <v>199</v>
      </c>
      <c r="D494" s="8"/>
      <c r="E494" s="12" t="n">
        <f aca="false">RANK(C494,$C$5:$C$716)</f>
        <v>233</v>
      </c>
      <c r="F494" s="12" t="n">
        <f aca="false">COUNTIFS($A$5:$A$716,A494,$C$5:$C$716,"&gt;"&amp;C494)+1</f>
        <v>13</v>
      </c>
      <c r="G494" s="9" t="n">
        <f aca="false">C494/SUMIFS($C$5:$C$716,$A$5:$A$716,A494)</f>
        <v>0.0213633923778851</v>
      </c>
    </row>
    <row r="495" customFormat="false" ht="15" hidden="false" customHeight="false" outlineLevel="0" collapsed="false">
      <c r="A495" s="7" t="s">
        <v>42</v>
      </c>
      <c r="B495" s="7" t="s">
        <v>573</v>
      </c>
      <c r="C495" s="13" t="n">
        <v>198</v>
      </c>
      <c r="D495" s="8"/>
      <c r="E495" s="12" t="n">
        <f aca="false">RANK(C495,$C$5:$C$716)</f>
        <v>234</v>
      </c>
      <c r="F495" s="12" t="n">
        <f aca="false">COUNTIFS($A$5:$A$716,A495,$C$5:$C$716,"&gt;"&amp;C495)+1</f>
        <v>14</v>
      </c>
      <c r="G495" s="9" t="n">
        <f aca="false">C495/SUMIFS($C$5:$C$716,$A$5:$A$716,A495)</f>
        <v>0.021256038647343</v>
      </c>
    </row>
    <row r="496" customFormat="false" ht="15" hidden="false" customHeight="false" outlineLevel="0" collapsed="false">
      <c r="A496" s="7" t="s">
        <v>42</v>
      </c>
      <c r="B496" s="7" t="s">
        <v>574</v>
      </c>
      <c r="C496" s="13" t="n">
        <v>193</v>
      </c>
      <c r="D496" s="8"/>
      <c r="E496" s="12" t="n">
        <f aca="false">RANK(C496,$C$5:$C$716)</f>
        <v>238</v>
      </c>
      <c r="F496" s="12" t="n">
        <f aca="false">COUNTIFS($A$5:$A$716,A496,$C$5:$C$716,"&gt;"&amp;C496)+1</f>
        <v>15</v>
      </c>
      <c r="G496" s="9" t="n">
        <f aca="false">C496/SUMIFS($C$5:$C$716,$A$5:$A$716,A496)</f>
        <v>0.0207192699946323</v>
      </c>
    </row>
    <row r="497" customFormat="false" ht="15" hidden="false" customHeight="false" outlineLevel="0" collapsed="false">
      <c r="A497" s="7" t="s">
        <v>42</v>
      </c>
      <c r="B497" s="7" t="s">
        <v>575</v>
      </c>
      <c r="C497" s="13" t="n">
        <v>168</v>
      </c>
      <c r="D497" s="8"/>
      <c r="E497" s="12" t="n">
        <f aca="false">RANK(C497,$C$5:$C$716)</f>
        <v>263</v>
      </c>
      <c r="F497" s="12" t="n">
        <f aca="false">COUNTIFS($A$5:$A$716,A497,$C$5:$C$716,"&gt;"&amp;C497)+1</f>
        <v>16</v>
      </c>
      <c r="G497" s="9" t="n">
        <f aca="false">C497/SUMIFS($C$5:$C$716,$A$5:$A$716,A497)</f>
        <v>0.0180354267310789</v>
      </c>
    </row>
    <row r="498" customFormat="false" ht="15" hidden="false" customHeight="false" outlineLevel="0" collapsed="false">
      <c r="A498" s="7" t="s">
        <v>42</v>
      </c>
      <c r="B498" s="7" t="s">
        <v>576</v>
      </c>
      <c r="C498" s="13" t="n">
        <v>159</v>
      </c>
      <c r="D498" s="8"/>
      <c r="E498" s="12" t="n">
        <f aca="false">RANK(C498,$C$5:$C$716)</f>
        <v>275</v>
      </c>
      <c r="F498" s="12" t="n">
        <f aca="false">COUNTIFS($A$5:$A$716,A498,$C$5:$C$716,"&gt;"&amp;C498)+1</f>
        <v>17</v>
      </c>
      <c r="G498" s="9" t="n">
        <f aca="false">C498/SUMIFS($C$5:$C$716,$A$5:$A$716,A498)</f>
        <v>0.0170692431561997</v>
      </c>
    </row>
    <row r="499" customFormat="false" ht="15" hidden="false" customHeight="false" outlineLevel="0" collapsed="false">
      <c r="A499" s="7" t="s">
        <v>42</v>
      </c>
      <c r="B499" s="7" t="s">
        <v>577</v>
      </c>
      <c r="C499" s="13" t="n">
        <v>155</v>
      </c>
      <c r="D499" s="8"/>
      <c r="E499" s="12" t="n">
        <f aca="false">RANK(C499,$C$5:$C$716)</f>
        <v>281</v>
      </c>
      <c r="F499" s="12" t="n">
        <f aca="false">COUNTIFS($A$5:$A$716,A499,$C$5:$C$716,"&gt;"&amp;C499)+1</f>
        <v>18</v>
      </c>
      <c r="G499" s="9" t="n">
        <f aca="false">C499/SUMIFS($C$5:$C$716,$A$5:$A$716,A499)</f>
        <v>0.0166398282340311</v>
      </c>
    </row>
    <row r="500" customFormat="false" ht="15" hidden="false" customHeight="false" outlineLevel="0" collapsed="false">
      <c r="A500" s="7" t="s">
        <v>42</v>
      </c>
      <c r="B500" s="7" t="s">
        <v>578</v>
      </c>
      <c r="C500" s="13" t="n">
        <v>110</v>
      </c>
      <c r="D500" s="8"/>
      <c r="E500" s="12" t="n">
        <f aca="false">RANK(C500,$C$5:$C$716)</f>
        <v>373</v>
      </c>
      <c r="F500" s="12" t="n">
        <f aca="false">COUNTIFS($A$5:$A$716,A500,$C$5:$C$716,"&gt;"&amp;C500)+1</f>
        <v>19</v>
      </c>
      <c r="G500" s="9" t="n">
        <f aca="false">C500/SUMIFS($C$5:$C$716,$A$5:$A$716,A500)</f>
        <v>0.011808910359635</v>
      </c>
    </row>
    <row r="501" customFormat="false" ht="15" hidden="false" customHeight="false" outlineLevel="0" collapsed="false">
      <c r="A501" s="7" t="s">
        <v>42</v>
      </c>
      <c r="B501" s="7" t="s">
        <v>579</v>
      </c>
      <c r="C501" s="13" t="n">
        <v>106</v>
      </c>
      <c r="D501" s="8"/>
      <c r="E501" s="12" t="n">
        <f aca="false">RANK(C501,$C$5:$C$716)</f>
        <v>380</v>
      </c>
      <c r="F501" s="12" t="n">
        <f aca="false">COUNTIFS($A$5:$A$716,A501,$C$5:$C$716,"&gt;"&amp;C501)+1</f>
        <v>20</v>
      </c>
      <c r="G501" s="9" t="n">
        <f aca="false">C501/SUMIFS($C$5:$C$716,$A$5:$A$716,A501)</f>
        <v>0.0113794954374665</v>
      </c>
    </row>
    <row r="502" customFormat="false" ht="15" hidden="false" customHeight="false" outlineLevel="0" collapsed="false">
      <c r="A502" s="7" t="s">
        <v>42</v>
      </c>
      <c r="B502" s="7" t="s">
        <v>580</v>
      </c>
      <c r="C502" s="13" t="n">
        <v>94</v>
      </c>
      <c r="D502" s="8"/>
      <c r="E502" s="12" t="n">
        <f aca="false">RANK(C502,$C$5:$C$716)</f>
        <v>410</v>
      </c>
      <c r="F502" s="12" t="n">
        <f aca="false">COUNTIFS($A$5:$A$716,A502,$C$5:$C$716,"&gt;"&amp;C502)+1</f>
        <v>21</v>
      </c>
      <c r="G502" s="9" t="n">
        <f aca="false">C502/SUMIFS($C$5:$C$716,$A$5:$A$716,A502)</f>
        <v>0.0100912506709608</v>
      </c>
    </row>
    <row r="503" customFormat="false" ht="15" hidden="false" customHeight="false" outlineLevel="0" collapsed="false">
      <c r="A503" s="7" t="s">
        <v>42</v>
      </c>
      <c r="B503" s="7" t="s">
        <v>581</v>
      </c>
      <c r="C503" s="13" t="n">
        <v>70</v>
      </c>
      <c r="D503" s="8"/>
      <c r="E503" s="12" t="n">
        <f aca="false">RANK(C503,$C$5:$C$716)</f>
        <v>487</v>
      </c>
      <c r="F503" s="12" t="n">
        <f aca="false">COUNTIFS($A$5:$A$716,A503,$C$5:$C$716,"&gt;"&amp;C503)+1</f>
        <v>22</v>
      </c>
      <c r="G503" s="9" t="n">
        <f aca="false">C503/SUMIFS($C$5:$C$716,$A$5:$A$716,A503)</f>
        <v>0.00751476113794954</v>
      </c>
    </row>
    <row r="504" customFormat="false" ht="15" hidden="false" customHeight="false" outlineLevel="0" collapsed="false">
      <c r="A504" s="7" t="s">
        <v>42</v>
      </c>
      <c r="B504" s="7" t="s">
        <v>582</v>
      </c>
      <c r="C504" s="13" t="n">
        <v>70</v>
      </c>
      <c r="D504" s="8"/>
      <c r="E504" s="12" t="n">
        <f aca="false">RANK(C504,$C$5:$C$716)</f>
        <v>487</v>
      </c>
      <c r="F504" s="12" t="n">
        <f aca="false">COUNTIFS($A$5:$A$716,A504,$C$5:$C$716,"&gt;"&amp;C504)+1</f>
        <v>22</v>
      </c>
      <c r="G504" s="9" t="n">
        <f aca="false">C504/SUMIFS($C$5:$C$716,$A$5:$A$716,A504)</f>
        <v>0.00751476113794954</v>
      </c>
    </row>
    <row r="505" customFormat="false" ht="15" hidden="false" customHeight="false" outlineLevel="0" collapsed="false">
      <c r="A505" s="7" t="s">
        <v>42</v>
      </c>
      <c r="B505" s="7" t="s">
        <v>583</v>
      </c>
      <c r="C505" s="13" t="n">
        <v>60</v>
      </c>
      <c r="D505" s="8"/>
      <c r="E505" s="12" t="n">
        <f aca="false">RANK(C505,$C$5:$C$716)</f>
        <v>521</v>
      </c>
      <c r="F505" s="12" t="n">
        <f aca="false">COUNTIFS($A$5:$A$716,A505,$C$5:$C$716,"&gt;"&amp;C505)+1</f>
        <v>24</v>
      </c>
      <c r="G505" s="9" t="n">
        <f aca="false">C505/SUMIFS($C$5:$C$716,$A$5:$A$716,A505)</f>
        <v>0.00644122383252818</v>
      </c>
    </row>
    <row r="506" customFormat="false" ht="15" hidden="false" customHeight="false" outlineLevel="0" collapsed="false">
      <c r="A506" s="7" t="s">
        <v>42</v>
      </c>
      <c r="B506" s="7" t="s">
        <v>584</v>
      </c>
      <c r="C506" s="13" t="n">
        <v>52</v>
      </c>
      <c r="D506" s="8"/>
      <c r="E506" s="12" t="n">
        <f aca="false">RANK(C506,$C$5:$C$716)</f>
        <v>546</v>
      </c>
      <c r="F506" s="12" t="n">
        <f aca="false">COUNTIFS($A$5:$A$716,A506,$C$5:$C$716,"&gt;"&amp;C506)+1</f>
        <v>25</v>
      </c>
      <c r="G506" s="9" t="n">
        <f aca="false">C506/SUMIFS($C$5:$C$716,$A$5:$A$716,A506)</f>
        <v>0.00558239398819109</v>
      </c>
    </row>
    <row r="507" customFormat="false" ht="15" hidden="false" customHeight="false" outlineLevel="0" collapsed="false">
      <c r="A507" s="7" t="s">
        <v>42</v>
      </c>
      <c r="B507" s="7" t="s">
        <v>585</v>
      </c>
      <c r="C507" s="13" t="n">
        <v>49</v>
      </c>
      <c r="D507" s="8"/>
      <c r="E507" s="12" t="n">
        <f aca="false">RANK(C507,$C$5:$C$716)</f>
        <v>561</v>
      </c>
      <c r="F507" s="12" t="n">
        <f aca="false">COUNTIFS($A$5:$A$716,A507,$C$5:$C$716,"&gt;"&amp;C507)+1</f>
        <v>26</v>
      </c>
      <c r="G507" s="9" t="n">
        <f aca="false">C507/SUMIFS($C$5:$C$716,$A$5:$A$716,A507)</f>
        <v>0.00526033279656468</v>
      </c>
    </row>
    <row r="508" customFormat="false" ht="15" hidden="false" customHeight="false" outlineLevel="0" collapsed="false">
      <c r="A508" s="7" t="s">
        <v>42</v>
      </c>
      <c r="B508" s="7" t="s">
        <v>586</v>
      </c>
      <c r="C508" s="13" t="n">
        <v>45</v>
      </c>
      <c r="D508" s="8"/>
      <c r="E508" s="12" t="n">
        <f aca="false">RANK(C508,$C$5:$C$716)</f>
        <v>586</v>
      </c>
      <c r="F508" s="12" t="n">
        <f aca="false">COUNTIFS($A$5:$A$716,A508,$C$5:$C$716,"&gt;"&amp;C508)+1</f>
        <v>27</v>
      </c>
      <c r="G508" s="9" t="n">
        <f aca="false">C508/SUMIFS($C$5:$C$716,$A$5:$A$716,A508)</f>
        <v>0.00483091787439614</v>
      </c>
    </row>
    <row r="509" customFormat="false" ht="15" hidden="false" customHeight="false" outlineLevel="0" collapsed="false">
      <c r="A509" s="7" t="s">
        <v>42</v>
      </c>
      <c r="B509" s="7" t="s">
        <v>587</v>
      </c>
      <c r="C509" s="13" t="n">
        <v>43</v>
      </c>
      <c r="D509" s="8"/>
      <c r="E509" s="12" t="n">
        <f aca="false">RANK(C509,$C$5:$C$716)</f>
        <v>599</v>
      </c>
      <c r="F509" s="12" t="n">
        <f aca="false">COUNTIFS($A$5:$A$716,A509,$C$5:$C$716,"&gt;"&amp;C509)+1</f>
        <v>28</v>
      </c>
      <c r="G509" s="9" t="n">
        <f aca="false">C509/SUMIFS($C$5:$C$716,$A$5:$A$716,A509)</f>
        <v>0.00461621041331186</v>
      </c>
    </row>
    <row r="510" customFormat="false" ht="15" hidden="false" customHeight="false" outlineLevel="0" collapsed="false">
      <c r="A510" s="7" t="s">
        <v>42</v>
      </c>
      <c r="B510" s="7" t="s">
        <v>588</v>
      </c>
      <c r="C510" s="13" t="n">
        <v>42</v>
      </c>
      <c r="D510" s="8"/>
      <c r="E510" s="12" t="n">
        <f aca="false">RANK(C510,$C$5:$C$716)</f>
        <v>603</v>
      </c>
      <c r="F510" s="12" t="n">
        <f aca="false">COUNTIFS($A$5:$A$716,A510,$C$5:$C$716,"&gt;"&amp;C510)+1</f>
        <v>29</v>
      </c>
      <c r="G510" s="9" t="n">
        <f aca="false">C510/SUMIFS($C$5:$C$716,$A$5:$A$716,A510)</f>
        <v>0.00450885668276973</v>
      </c>
    </row>
    <row r="511" customFormat="false" ht="15" hidden="false" customHeight="false" outlineLevel="0" collapsed="false">
      <c r="A511" s="7" t="s">
        <v>42</v>
      </c>
      <c r="B511" s="7" t="s">
        <v>589</v>
      </c>
      <c r="C511" s="13" t="n">
        <v>40</v>
      </c>
      <c r="D511" s="8"/>
      <c r="E511" s="12" t="n">
        <f aca="false">RANK(C511,$C$5:$C$716)</f>
        <v>615</v>
      </c>
      <c r="F511" s="12" t="n">
        <f aca="false">COUNTIFS($A$5:$A$716,A511,$C$5:$C$716,"&gt;"&amp;C511)+1</f>
        <v>30</v>
      </c>
      <c r="G511" s="9" t="n">
        <f aca="false">C511/SUMIFS($C$5:$C$716,$A$5:$A$716,A511)</f>
        <v>0.00429414922168545</v>
      </c>
    </row>
    <row r="512" customFormat="false" ht="15" hidden="false" customHeight="false" outlineLevel="0" collapsed="false">
      <c r="A512" s="7" t="s">
        <v>42</v>
      </c>
      <c r="B512" s="7" t="s">
        <v>590</v>
      </c>
      <c r="C512" s="13" t="n">
        <v>38</v>
      </c>
      <c r="D512" s="8"/>
      <c r="E512" s="12" t="n">
        <f aca="false">RANK(C512,$C$5:$C$716)</f>
        <v>629</v>
      </c>
      <c r="F512" s="12" t="n">
        <f aca="false">COUNTIFS($A$5:$A$716,A512,$C$5:$C$716,"&gt;"&amp;C512)+1</f>
        <v>31</v>
      </c>
      <c r="G512" s="9" t="n">
        <f aca="false">C512/SUMIFS($C$5:$C$716,$A$5:$A$716,A512)</f>
        <v>0.00407944176060118</v>
      </c>
    </row>
    <row r="513" customFormat="false" ht="15" hidden="false" customHeight="false" outlineLevel="0" collapsed="false">
      <c r="A513" s="7" t="s">
        <v>42</v>
      </c>
      <c r="B513" s="7" t="s">
        <v>591</v>
      </c>
      <c r="C513" s="13" t="n">
        <v>38</v>
      </c>
      <c r="D513" s="8"/>
      <c r="E513" s="12" t="n">
        <f aca="false">RANK(C513,$C$5:$C$716)</f>
        <v>629</v>
      </c>
      <c r="F513" s="12" t="n">
        <f aca="false">COUNTIFS($A$5:$A$716,A513,$C$5:$C$716,"&gt;"&amp;C513)+1</f>
        <v>31</v>
      </c>
      <c r="G513" s="9" t="n">
        <f aca="false">C513/SUMIFS($C$5:$C$716,$A$5:$A$716,A513)</f>
        <v>0.00407944176060118</v>
      </c>
    </row>
    <row r="514" customFormat="false" ht="15" hidden="false" customHeight="false" outlineLevel="0" collapsed="false">
      <c r="A514" s="7" t="s">
        <v>42</v>
      </c>
      <c r="B514" s="7" t="s">
        <v>592</v>
      </c>
      <c r="C514" s="13" t="n">
        <v>36</v>
      </c>
      <c r="D514" s="8"/>
      <c r="E514" s="12" t="n">
        <f aca="false">RANK(C514,$C$5:$C$716)</f>
        <v>639</v>
      </c>
      <c r="F514" s="12" t="n">
        <f aca="false">COUNTIFS($A$5:$A$716,A514,$C$5:$C$716,"&gt;"&amp;C514)+1</f>
        <v>33</v>
      </c>
      <c r="G514" s="9" t="n">
        <f aca="false">C514/SUMIFS($C$5:$C$716,$A$5:$A$716,A514)</f>
        <v>0.00386473429951691</v>
      </c>
    </row>
    <row r="515" customFormat="false" ht="15" hidden="false" customHeight="false" outlineLevel="0" collapsed="false">
      <c r="A515" s="7" t="s">
        <v>42</v>
      </c>
      <c r="B515" s="7" t="s">
        <v>593</v>
      </c>
      <c r="C515" s="13" t="n">
        <v>34</v>
      </c>
      <c r="D515" s="8"/>
      <c r="E515" s="12" t="n">
        <f aca="false">RANK(C515,$C$5:$C$716)</f>
        <v>655</v>
      </c>
      <c r="F515" s="12" t="n">
        <f aca="false">COUNTIFS($A$5:$A$716,A515,$C$5:$C$716,"&gt;"&amp;C515)+1</f>
        <v>34</v>
      </c>
      <c r="G515" s="9" t="n">
        <f aca="false">C515/SUMIFS($C$5:$C$716,$A$5:$A$716,A515)</f>
        <v>0.00365002683843264</v>
      </c>
    </row>
    <row r="516" customFormat="false" ht="15" hidden="false" customHeight="false" outlineLevel="0" collapsed="false">
      <c r="A516" s="7" t="s">
        <v>42</v>
      </c>
      <c r="B516" s="7" t="s">
        <v>594</v>
      </c>
      <c r="C516" s="13" t="n">
        <v>33</v>
      </c>
      <c r="D516" s="8"/>
      <c r="E516" s="12" t="n">
        <f aca="false">RANK(C516,$C$5:$C$716)</f>
        <v>661</v>
      </c>
      <c r="F516" s="12" t="n">
        <f aca="false">COUNTIFS($A$5:$A$716,A516,$C$5:$C$716,"&gt;"&amp;C516)+1</f>
        <v>35</v>
      </c>
      <c r="G516" s="9" t="n">
        <f aca="false">C516/SUMIFS($C$5:$C$716,$A$5:$A$716,A516)</f>
        <v>0.0035426731078905</v>
      </c>
    </row>
    <row r="517" customFormat="false" ht="15" hidden="false" customHeight="false" outlineLevel="0" collapsed="false">
      <c r="A517" s="7" t="s">
        <v>42</v>
      </c>
      <c r="B517" s="7" t="s">
        <v>595</v>
      </c>
      <c r="C517" s="13" t="n">
        <v>31</v>
      </c>
      <c r="D517" s="8"/>
      <c r="E517" s="12" t="n">
        <f aca="false">RANK(C517,$C$5:$C$716)</f>
        <v>673</v>
      </c>
      <c r="F517" s="12" t="n">
        <f aca="false">COUNTIFS($A$5:$A$716,A517,$C$5:$C$716,"&gt;"&amp;C517)+1</f>
        <v>36</v>
      </c>
      <c r="G517" s="9" t="n">
        <f aca="false">C517/SUMIFS($C$5:$C$716,$A$5:$A$716,A517)</f>
        <v>0.00332796564680623</v>
      </c>
    </row>
    <row r="518" customFormat="false" ht="15" hidden="false" customHeight="false" outlineLevel="0" collapsed="false">
      <c r="A518" s="7" t="s">
        <v>42</v>
      </c>
      <c r="B518" s="7" t="s">
        <v>596</v>
      </c>
      <c r="C518" s="13" t="n">
        <v>30</v>
      </c>
      <c r="D518" s="8"/>
      <c r="E518" s="12" t="n">
        <f aca="false">RANK(C518,$C$5:$C$716)</f>
        <v>683</v>
      </c>
      <c r="F518" s="12" t="n">
        <f aca="false">COUNTIFS($A$5:$A$716,A518,$C$5:$C$716,"&gt;"&amp;C518)+1</f>
        <v>37</v>
      </c>
      <c r="G518" s="9" t="n">
        <f aca="false">C518/SUMIFS($C$5:$C$716,$A$5:$A$716,A518)</f>
        <v>0.00322061191626409</v>
      </c>
    </row>
    <row r="519" customFormat="false" ht="15" hidden="false" customHeight="false" outlineLevel="0" collapsed="false">
      <c r="A519" s="7" t="s">
        <v>43</v>
      </c>
      <c r="B519" s="7" t="s">
        <v>597</v>
      </c>
      <c r="C519" s="13" t="n">
        <v>3908</v>
      </c>
      <c r="D519" s="8"/>
      <c r="E519" s="12" t="n">
        <f aca="false">RANK(C519,$C$5:$C$716)</f>
        <v>21</v>
      </c>
      <c r="F519" s="12" t="n">
        <f aca="false">COUNTIFS($A$5:$A$716,A519,$C$5:$C$716,"&gt;"&amp;C519)+1</f>
        <v>1</v>
      </c>
      <c r="G519" s="9" t="n">
        <f aca="false">C519/SUMIFS($C$5:$C$716,$A$5:$A$716,A519)</f>
        <v>0.536150363561531</v>
      </c>
    </row>
    <row r="520" customFormat="false" ht="15" hidden="false" customHeight="false" outlineLevel="0" collapsed="false">
      <c r="A520" s="7" t="s">
        <v>43</v>
      </c>
      <c r="B520" s="7" t="s">
        <v>598</v>
      </c>
      <c r="C520" s="13" t="n">
        <v>697</v>
      </c>
      <c r="D520" s="8"/>
      <c r="E520" s="12" t="n">
        <f aca="false">RANK(C520,$C$5:$C$716)</f>
        <v>73</v>
      </c>
      <c r="F520" s="12" t="n">
        <f aca="false">COUNTIFS($A$5:$A$716,A520,$C$5:$C$716,"&gt;"&amp;C520)+1</f>
        <v>2</v>
      </c>
      <c r="G520" s="9" t="n">
        <f aca="false">C520/SUMIFS($C$5:$C$716,$A$5:$A$716,A520)</f>
        <v>0.0956235423240499</v>
      </c>
    </row>
    <row r="521" customFormat="false" ht="15" hidden="false" customHeight="false" outlineLevel="0" collapsed="false">
      <c r="A521" s="7" t="s">
        <v>43</v>
      </c>
      <c r="B521" s="7" t="s">
        <v>599</v>
      </c>
      <c r="C521" s="13" t="n">
        <v>246</v>
      </c>
      <c r="D521" s="8"/>
      <c r="E521" s="12" t="n">
        <f aca="false">RANK(C521,$C$5:$C$716)</f>
        <v>181</v>
      </c>
      <c r="F521" s="12" t="n">
        <f aca="false">COUNTIFS($A$5:$A$716,A521,$C$5:$C$716,"&gt;"&amp;C521)+1</f>
        <v>3</v>
      </c>
      <c r="G521" s="9" t="n">
        <f aca="false">C521/SUMIFS($C$5:$C$716,$A$5:$A$716,A521)</f>
        <v>0.0337494855261353</v>
      </c>
    </row>
    <row r="522" customFormat="false" ht="15" hidden="false" customHeight="false" outlineLevel="0" collapsed="false">
      <c r="A522" s="7" t="s">
        <v>43</v>
      </c>
      <c r="B522" s="7" t="s">
        <v>600</v>
      </c>
      <c r="C522" s="13" t="n">
        <v>223</v>
      </c>
      <c r="D522" s="8"/>
      <c r="E522" s="12" t="n">
        <f aca="false">RANK(C522,$C$5:$C$716)</f>
        <v>202</v>
      </c>
      <c r="F522" s="12" t="n">
        <f aca="false">COUNTIFS($A$5:$A$716,A522,$C$5:$C$716,"&gt;"&amp;C522)+1</f>
        <v>4</v>
      </c>
      <c r="G522" s="9" t="n">
        <f aca="false">C522/SUMIFS($C$5:$C$716,$A$5:$A$716,A522)</f>
        <v>0.0305940458224722</v>
      </c>
    </row>
    <row r="523" customFormat="false" ht="15" hidden="false" customHeight="false" outlineLevel="0" collapsed="false">
      <c r="A523" s="7" t="s">
        <v>43</v>
      </c>
      <c r="B523" s="7" t="s">
        <v>601</v>
      </c>
      <c r="C523" s="13" t="n">
        <v>174</v>
      </c>
      <c r="D523" s="8"/>
      <c r="E523" s="12" t="n">
        <f aca="false">RANK(C523,$C$5:$C$716)</f>
        <v>254</v>
      </c>
      <c r="F523" s="12" t="n">
        <f aca="false">COUNTIFS($A$5:$A$716,A523,$C$5:$C$716,"&gt;"&amp;C523)+1</f>
        <v>5</v>
      </c>
      <c r="G523" s="9" t="n">
        <f aca="false">C523/SUMIFS($C$5:$C$716,$A$5:$A$716,A523)</f>
        <v>0.023871587323364</v>
      </c>
    </row>
    <row r="524" customFormat="false" ht="15" hidden="false" customHeight="false" outlineLevel="0" collapsed="false">
      <c r="A524" s="7" t="s">
        <v>43</v>
      </c>
      <c r="B524" s="7" t="s">
        <v>602</v>
      </c>
      <c r="C524" s="13" t="n">
        <v>170</v>
      </c>
      <c r="D524" s="8"/>
      <c r="E524" s="12" t="n">
        <f aca="false">RANK(C524,$C$5:$C$716)</f>
        <v>262</v>
      </c>
      <c r="F524" s="12" t="n">
        <f aca="false">COUNTIFS($A$5:$A$716,A524,$C$5:$C$716,"&gt;"&amp;C524)+1</f>
        <v>6</v>
      </c>
      <c r="G524" s="9" t="n">
        <f aca="false">C524/SUMIFS($C$5:$C$716,$A$5:$A$716,A524)</f>
        <v>0.0233228152009878</v>
      </c>
    </row>
    <row r="525" customFormat="false" ht="15" hidden="false" customHeight="false" outlineLevel="0" collapsed="false">
      <c r="A525" s="7" t="s">
        <v>43</v>
      </c>
      <c r="B525" s="7" t="s">
        <v>603</v>
      </c>
      <c r="C525" s="13" t="n">
        <v>160</v>
      </c>
      <c r="D525" s="8"/>
      <c r="E525" s="12" t="n">
        <f aca="false">RANK(C525,$C$5:$C$716)</f>
        <v>273</v>
      </c>
      <c r="F525" s="12" t="n">
        <f aca="false">COUNTIFS($A$5:$A$716,A525,$C$5:$C$716,"&gt;"&amp;C525)+1</f>
        <v>7</v>
      </c>
      <c r="G525" s="9" t="n">
        <f aca="false">C525/SUMIFS($C$5:$C$716,$A$5:$A$716,A525)</f>
        <v>0.0219508848950473</v>
      </c>
    </row>
    <row r="526" customFormat="false" ht="15" hidden="false" customHeight="false" outlineLevel="0" collapsed="false">
      <c r="A526" s="7" t="s">
        <v>43</v>
      </c>
      <c r="B526" s="7" t="s">
        <v>604</v>
      </c>
      <c r="C526" s="13" t="n">
        <v>157</v>
      </c>
      <c r="D526" s="8"/>
      <c r="E526" s="12" t="n">
        <f aca="false">RANK(C526,$C$5:$C$716)</f>
        <v>278</v>
      </c>
      <c r="F526" s="12" t="n">
        <f aca="false">COUNTIFS($A$5:$A$716,A526,$C$5:$C$716,"&gt;"&amp;C526)+1</f>
        <v>8</v>
      </c>
      <c r="G526" s="9" t="n">
        <f aca="false">C526/SUMIFS($C$5:$C$716,$A$5:$A$716,A526)</f>
        <v>0.0215393058032652</v>
      </c>
    </row>
    <row r="527" customFormat="false" ht="15" hidden="false" customHeight="false" outlineLevel="0" collapsed="false">
      <c r="A527" s="7" t="s">
        <v>43</v>
      </c>
      <c r="B527" s="7" t="s">
        <v>605</v>
      </c>
      <c r="C527" s="13" t="n">
        <v>147</v>
      </c>
      <c r="D527" s="8"/>
      <c r="E527" s="12" t="n">
        <f aca="false">RANK(C527,$C$5:$C$716)</f>
        <v>296</v>
      </c>
      <c r="F527" s="12" t="n">
        <f aca="false">COUNTIFS($A$5:$A$716,A527,$C$5:$C$716,"&gt;"&amp;C527)+1</f>
        <v>9</v>
      </c>
      <c r="G527" s="9" t="n">
        <f aca="false">C527/SUMIFS($C$5:$C$716,$A$5:$A$716,A527)</f>
        <v>0.0201673754973247</v>
      </c>
    </row>
    <row r="528" customFormat="false" ht="15" hidden="false" customHeight="false" outlineLevel="0" collapsed="false">
      <c r="A528" s="7" t="s">
        <v>43</v>
      </c>
      <c r="B528" s="7" t="s">
        <v>606</v>
      </c>
      <c r="C528" s="13" t="n">
        <v>127</v>
      </c>
      <c r="D528" s="8"/>
      <c r="E528" s="12" t="n">
        <f aca="false">RANK(C528,$C$5:$C$716)</f>
        <v>332</v>
      </c>
      <c r="F528" s="12" t="n">
        <f aca="false">COUNTIFS($A$5:$A$716,A528,$C$5:$C$716,"&gt;"&amp;C528)+1</f>
        <v>10</v>
      </c>
      <c r="G528" s="9" t="n">
        <f aca="false">C528/SUMIFS($C$5:$C$716,$A$5:$A$716,A528)</f>
        <v>0.0174235148854438</v>
      </c>
    </row>
    <row r="529" customFormat="false" ht="15" hidden="false" customHeight="false" outlineLevel="0" collapsed="false">
      <c r="A529" s="7" t="s">
        <v>43</v>
      </c>
      <c r="B529" s="7" t="s">
        <v>607</v>
      </c>
      <c r="C529" s="13" t="n">
        <v>122</v>
      </c>
      <c r="D529" s="8"/>
      <c r="E529" s="12" t="n">
        <f aca="false">RANK(C529,$C$5:$C$716)</f>
        <v>342</v>
      </c>
      <c r="F529" s="12" t="n">
        <f aca="false">COUNTIFS($A$5:$A$716,A529,$C$5:$C$716,"&gt;"&amp;C529)+1</f>
        <v>11</v>
      </c>
      <c r="G529" s="9" t="n">
        <f aca="false">C529/SUMIFS($C$5:$C$716,$A$5:$A$716,A529)</f>
        <v>0.0167375497324736</v>
      </c>
    </row>
    <row r="530" customFormat="false" ht="15" hidden="false" customHeight="false" outlineLevel="0" collapsed="false">
      <c r="A530" s="7" t="s">
        <v>43</v>
      </c>
      <c r="B530" s="7" t="s">
        <v>608</v>
      </c>
      <c r="C530" s="13" t="n">
        <v>102</v>
      </c>
      <c r="D530" s="8"/>
      <c r="E530" s="12" t="n">
        <f aca="false">RANK(C530,$C$5:$C$716)</f>
        <v>389</v>
      </c>
      <c r="F530" s="12" t="n">
        <f aca="false">COUNTIFS($A$5:$A$716,A530,$C$5:$C$716,"&gt;"&amp;C530)+1</f>
        <v>12</v>
      </c>
      <c r="G530" s="9" t="n">
        <f aca="false">C530/SUMIFS($C$5:$C$716,$A$5:$A$716,A530)</f>
        <v>0.0139936891205927</v>
      </c>
    </row>
    <row r="531" customFormat="false" ht="15" hidden="false" customHeight="false" outlineLevel="0" collapsed="false">
      <c r="A531" s="7" t="s">
        <v>43</v>
      </c>
      <c r="B531" s="7" t="s">
        <v>609</v>
      </c>
      <c r="C531" s="13" t="n">
        <v>102</v>
      </c>
      <c r="D531" s="8"/>
      <c r="E531" s="12" t="n">
        <f aca="false">RANK(C531,$C$5:$C$716)</f>
        <v>389</v>
      </c>
      <c r="F531" s="12" t="n">
        <f aca="false">COUNTIFS($A$5:$A$716,A531,$C$5:$C$716,"&gt;"&amp;C531)+1</f>
        <v>12</v>
      </c>
      <c r="G531" s="9" t="n">
        <f aca="false">C531/SUMIFS($C$5:$C$716,$A$5:$A$716,A531)</f>
        <v>0.0139936891205927</v>
      </c>
    </row>
    <row r="532" customFormat="false" ht="15" hidden="false" customHeight="false" outlineLevel="0" collapsed="false">
      <c r="A532" s="7" t="s">
        <v>43</v>
      </c>
      <c r="B532" s="7" t="s">
        <v>610</v>
      </c>
      <c r="C532" s="13" t="n">
        <v>98</v>
      </c>
      <c r="D532" s="8"/>
      <c r="E532" s="12" t="n">
        <f aca="false">RANK(C532,$C$5:$C$716)</f>
        <v>401</v>
      </c>
      <c r="F532" s="12" t="n">
        <f aca="false">COUNTIFS($A$5:$A$716,A532,$C$5:$C$716,"&gt;"&amp;C532)+1</f>
        <v>14</v>
      </c>
      <c r="G532" s="9" t="n">
        <f aca="false">C532/SUMIFS($C$5:$C$716,$A$5:$A$716,A532)</f>
        <v>0.0134449169982165</v>
      </c>
    </row>
    <row r="533" customFormat="false" ht="15" hidden="false" customHeight="false" outlineLevel="0" collapsed="false">
      <c r="A533" s="7" t="s">
        <v>43</v>
      </c>
      <c r="B533" s="7" t="s">
        <v>611</v>
      </c>
      <c r="C533" s="13" t="n">
        <v>91</v>
      </c>
      <c r="D533" s="8"/>
      <c r="E533" s="12" t="n">
        <f aca="false">RANK(C533,$C$5:$C$716)</f>
        <v>418</v>
      </c>
      <c r="F533" s="12" t="n">
        <f aca="false">COUNTIFS($A$5:$A$716,A533,$C$5:$C$716,"&gt;"&amp;C533)+1</f>
        <v>15</v>
      </c>
      <c r="G533" s="9" t="n">
        <f aca="false">C533/SUMIFS($C$5:$C$716,$A$5:$A$716,A533)</f>
        <v>0.0124845657840582</v>
      </c>
    </row>
    <row r="534" customFormat="false" ht="15" hidden="false" customHeight="false" outlineLevel="0" collapsed="false">
      <c r="A534" s="7" t="s">
        <v>43</v>
      </c>
      <c r="B534" s="7" t="s">
        <v>612</v>
      </c>
      <c r="C534" s="13" t="n">
        <v>88</v>
      </c>
      <c r="D534" s="8"/>
      <c r="E534" s="12" t="n">
        <f aca="false">RANK(C534,$C$5:$C$716)</f>
        <v>422</v>
      </c>
      <c r="F534" s="12" t="n">
        <f aca="false">COUNTIFS($A$5:$A$716,A534,$C$5:$C$716,"&gt;"&amp;C534)+1</f>
        <v>16</v>
      </c>
      <c r="G534" s="9" t="n">
        <f aca="false">C534/SUMIFS($C$5:$C$716,$A$5:$A$716,A534)</f>
        <v>0.012072986692276</v>
      </c>
    </row>
    <row r="535" customFormat="false" ht="15" hidden="false" customHeight="false" outlineLevel="0" collapsed="false">
      <c r="A535" s="7" t="s">
        <v>43</v>
      </c>
      <c r="B535" s="7" t="s">
        <v>613</v>
      </c>
      <c r="C535" s="13" t="n">
        <v>87</v>
      </c>
      <c r="D535" s="8"/>
      <c r="E535" s="12" t="n">
        <f aca="false">RANK(C535,$C$5:$C$716)</f>
        <v>426</v>
      </c>
      <c r="F535" s="12" t="n">
        <f aca="false">COUNTIFS($A$5:$A$716,A535,$C$5:$C$716,"&gt;"&amp;C535)+1</f>
        <v>17</v>
      </c>
      <c r="G535" s="9" t="n">
        <f aca="false">C535/SUMIFS($C$5:$C$716,$A$5:$A$716,A535)</f>
        <v>0.011935793661682</v>
      </c>
    </row>
    <row r="536" customFormat="false" ht="15" hidden="false" customHeight="false" outlineLevel="0" collapsed="false">
      <c r="A536" s="7" t="s">
        <v>43</v>
      </c>
      <c r="B536" s="7" t="s">
        <v>614</v>
      </c>
      <c r="C536" s="13" t="n">
        <v>84</v>
      </c>
      <c r="D536" s="8"/>
      <c r="E536" s="12" t="n">
        <f aca="false">RANK(C536,$C$5:$C$716)</f>
        <v>432</v>
      </c>
      <c r="F536" s="12" t="n">
        <f aca="false">COUNTIFS($A$5:$A$716,A536,$C$5:$C$716,"&gt;"&amp;C536)+1</f>
        <v>18</v>
      </c>
      <c r="G536" s="9" t="n">
        <f aca="false">C536/SUMIFS($C$5:$C$716,$A$5:$A$716,A536)</f>
        <v>0.0115242145698999</v>
      </c>
    </row>
    <row r="537" customFormat="false" ht="15" hidden="false" customHeight="false" outlineLevel="0" collapsed="false">
      <c r="A537" s="7" t="s">
        <v>43</v>
      </c>
      <c r="B537" s="7" t="s">
        <v>615</v>
      </c>
      <c r="C537" s="13" t="n">
        <v>80</v>
      </c>
      <c r="D537" s="8"/>
      <c r="E537" s="12" t="n">
        <f aca="false">RANK(C537,$C$5:$C$716)</f>
        <v>452</v>
      </c>
      <c r="F537" s="12" t="n">
        <f aca="false">COUNTIFS($A$5:$A$716,A537,$C$5:$C$716,"&gt;"&amp;C537)+1</f>
        <v>19</v>
      </c>
      <c r="G537" s="9" t="n">
        <f aca="false">C537/SUMIFS($C$5:$C$716,$A$5:$A$716,A537)</f>
        <v>0.0109754424475237</v>
      </c>
    </row>
    <row r="538" customFormat="false" ht="15" hidden="false" customHeight="false" outlineLevel="0" collapsed="false">
      <c r="A538" s="7" t="s">
        <v>43</v>
      </c>
      <c r="B538" s="7" t="s">
        <v>616</v>
      </c>
      <c r="C538" s="13" t="n">
        <v>79</v>
      </c>
      <c r="D538" s="8"/>
      <c r="E538" s="12" t="n">
        <f aca="false">RANK(C538,$C$5:$C$716)</f>
        <v>456</v>
      </c>
      <c r="F538" s="12" t="n">
        <f aca="false">COUNTIFS($A$5:$A$716,A538,$C$5:$C$716,"&gt;"&amp;C538)+1</f>
        <v>20</v>
      </c>
      <c r="G538" s="9" t="n">
        <f aca="false">C538/SUMIFS($C$5:$C$716,$A$5:$A$716,A538)</f>
        <v>0.0108382494169296</v>
      </c>
    </row>
    <row r="539" customFormat="false" ht="15" hidden="false" customHeight="false" outlineLevel="0" collapsed="false">
      <c r="A539" s="7" t="s">
        <v>43</v>
      </c>
      <c r="B539" s="7" t="s">
        <v>617</v>
      </c>
      <c r="C539" s="13" t="n">
        <v>70</v>
      </c>
      <c r="D539" s="8"/>
      <c r="E539" s="12" t="n">
        <f aca="false">RANK(C539,$C$5:$C$716)</f>
        <v>487</v>
      </c>
      <c r="F539" s="12" t="n">
        <f aca="false">COUNTIFS($A$5:$A$716,A539,$C$5:$C$716,"&gt;"&amp;C539)+1</f>
        <v>21</v>
      </c>
      <c r="G539" s="9" t="n">
        <f aca="false">C539/SUMIFS($C$5:$C$716,$A$5:$A$716,A539)</f>
        <v>0.00960351214158321</v>
      </c>
    </row>
    <row r="540" customFormat="false" ht="15" hidden="false" customHeight="false" outlineLevel="0" collapsed="false">
      <c r="A540" s="7" t="s">
        <v>43</v>
      </c>
      <c r="B540" s="7" t="s">
        <v>618</v>
      </c>
      <c r="C540" s="13" t="n">
        <v>66</v>
      </c>
      <c r="D540" s="8"/>
      <c r="E540" s="12" t="n">
        <f aca="false">RANK(C540,$C$5:$C$716)</f>
        <v>500</v>
      </c>
      <c r="F540" s="12" t="n">
        <f aca="false">COUNTIFS($A$5:$A$716,A540,$C$5:$C$716,"&gt;"&amp;C540)+1</f>
        <v>22</v>
      </c>
      <c r="G540" s="9" t="n">
        <f aca="false">C540/SUMIFS($C$5:$C$716,$A$5:$A$716,A540)</f>
        <v>0.00905474001920702</v>
      </c>
    </row>
    <row r="541" customFormat="false" ht="15" hidden="false" customHeight="false" outlineLevel="0" collapsed="false">
      <c r="A541" s="7" t="s">
        <v>43</v>
      </c>
      <c r="B541" s="7" t="s">
        <v>619</v>
      </c>
      <c r="C541" s="13" t="n">
        <v>65</v>
      </c>
      <c r="D541" s="8"/>
      <c r="E541" s="12" t="n">
        <f aca="false">RANK(C541,$C$5:$C$716)</f>
        <v>505</v>
      </c>
      <c r="F541" s="12" t="n">
        <f aca="false">COUNTIFS($A$5:$A$716,A541,$C$5:$C$716,"&gt;"&amp;C541)+1</f>
        <v>23</v>
      </c>
      <c r="G541" s="9" t="n">
        <f aca="false">C541/SUMIFS($C$5:$C$716,$A$5:$A$716,A541)</f>
        <v>0.00891754698861298</v>
      </c>
    </row>
    <row r="542" customFormat="false" ht="15" hidden="false" customHeight="false" outlineLevel="0" collapsed="false">
      <c r="A542" s="7" t="s">
        <v>43</v>
      </c>
      <c r="B542" s="7" t="s">
        <v>620</v>
      </c>
      <c r="C542" s="13" t="n">
        <v>45</v>
      </c>
      <c r="D542" s="8"/>
      <c r="E542" s="12" t="n">
        <f aca="false">RANK(C542,$C$5:$C$716)</f>
        <v>586</v>
      </c>
      <c r="F542" s="12" t="n">
        <f aca="false">COUNTIFS($A$5:$A$716,A542,$C$5:$C$716,"&gt;"&amp;C542)+1</f>
        <v>24</v>
      </c>
      <c r="G542" s="9" t="n">
        <f aca="false">C542/SUMIFS($C$5:$C$716,$A$5:$A$716,A542)</f>
        <v>0.00617368637673206</v>
      </c>
    </row>
    <row r="543" customFormat="false" ht="15" hidden="false" customHeight="false" outlineLevel="0" collapsed="false">
      <c r="A543" s="7" t="s">
        <v>43</v>
      </c>
      <c r="B543" s="7" t="s">
        <v>621</v>
      </c>
      <c r="C543" s="13" t="n">
        <v>39</v>
      </c>
      <c r="D543" s="8"/>
      <c r="E543" s="12" t="n">
        <f aca="false">RANK(C543,$C$5:$C$716)</f>
        <v>623</v>
      </c>
      <c r="F543" s="12" t="n">
        <f aca="false">COUNTIFS($A$5:$A$716,A543,$C$5:$C$716,"&gt;"&amp;C543)+1</f>
        <v>25</v>
      </c>
      <c r="G543" s="9" t="n">
        <f aca="false">C543/SUMIFS($C$5:$C$716,$A$5:$A$716,A543)</f>
        <v>0.00535052819316779</v>
      </c>
    </row>
    <row r="544" customFormat="false" ht="15" hidden="false" customHeight="false" outlineLevel="0" collapsed="false">
      <c r="A544" s="7" t="s">
        <v>43</v>
      </c>
      <c r="B544" s="7" t="s">
        <v>622</v>
      </c>
      <c r="C544" s="13" t="n">
        <v>33</v>
      </c>
      <c r="D544" s="8"/>
      <c r="E544" s="12" t="n">
        <f aca="false">RANK(C544,$C$5:$C$716)</f>
        <v>661</v>
      </c>
      <c r="F544" s="12" t="n">
        <f aca="false">COUNTIFS($A$5:$A$716,A544,$C$5:$C$716,"&gt;"&amp;C544)+1</f>
        <v>26</v>
      </c>
      <c r="G544" s="9" t="n">
        <f aca="false">C544/SUMIFS($C$5:$C$716,$A$5:$A$716,A544)</f>
        <v>0.00452737000960351</v>
      </c>
    </row>
    <row r="545" customFormat="false" ht="15" hidden="false" customHeight="false" outlineLevel="0" collapsed="false">
      <c r="A545" s="7" t="s">
        <v>43</v>
      </c>
      <c r="B545" s="7" t="s">
        <v>623</v>
      </c>
      <c r="C545" s="13" t="n">
        <v>29</v>
      </c>
      <c r="D545" s="8"/>
      <c r="E545" s="12" t="n">
        <f aca="false">RANK(C545,$C$5:$C$716)</f>
        <v>690</v>
      </c>
      <c r="F545" s="12" t="n">
        <f aca="false">COUNTIFS($A$5:$A$716,A545,$C$5:$C$716,"&gt;"&amp;C545)+1</f>
        <v>27</v>
      </c>
      <c r="G545" s="9" t="n">
        <f aca="false">C545/SUMIFS($C$5:$C$716,$A$5:$A$716,A545)</f>
        <v>0.00397859788722733</v>
      </c>
    </row>
    <row r="546" customFormat="false" ht="15" hidden="false" customHeight="false" outlineLevel="0" collapsed="false">
      <c r="A546" s="7" t="s">
        <v>44</v>
      </c>
      <c r="B546" s="7" t="s">
        <v>624</v>
      </c>
      <c r="C546" s="13" t="n">
        <v>1393</v>
      </c>
      <c r="D546" s="8"/>
      <c r="E546" s="12" t="n">
        <f aca="false">RANK(C546,$C$5:$C$716)</f>
        <v>42</v>
      </c>
      <c r="F546" s="12" t="n">
        <f aca="false">COUNTIFS($A$5:$A$716,A546,$C$5:$C$716,"&gt;"&amp;C546)+1</f>
        <v>1</v>
      </c>
      <c r="G546" s="9" t="n">
        <f aca="false">C546/SUMIFS($C$5:$C$716,$A$5:$A$716,A546)</f>
        <v>0.237551159618008</v>
      </c>
    </row>
    <row r="547" customFormat="false" ht="15" hidden="false" customHeight="false" outlineLevel="0" collapsed="false">
      <c r="A547" s="7" t="s">
        <v>44</v>
      </c>
      <c r="B547" s="7" t="s">
        <v>625</v>
      </c>
      <c r="C547" s="13" t="n">
        <v>1142</v>
      </c>
      <c r="D547" s="8"/>
      <c r="E547" s="12" t="n">
        <f aca="false">RANK(C547,$C$5:$C$716)</f>
        <v>48</v>
      </c>
      <c r="F547" s="12" t="n">
        <f aca="false">COUNTIFS($A$5:$A$716,A547,$C$5:$C$716,"&gt;"&amp;C547)+1</f>
        <v>2</v>
      </c>
      <c r="G547" s="9" t="n">
        <f aca="false">C547/SUMIFS($C$5:$C$716,$A$5:$A$716,A547)</f>
        <v>0.19474761255116</v>
      </c>
    </row>
    <row r="548" customFormat="false" ht="15" hidden="false" customHeight="false" outlineLevel="0" collapsed="false">
      <c r="A548" s="7" t="s">
        <v>44</v>
      </c>
      <c r="B548" s="7" t="s">
        <v>626</v>
      </c>
      <c r="C548" s="13" t="n">
        <v>529</v>
      </c>
      <c r="D548" s="8"/>
      <c r="E548" s="12" t="n">
        <f aca="false">RANK(C548,$C$5:$C$716)</f>
        <v>100</v>
      </c>
      <c r="F548" s="12" t="n">
        <f aca="false">COUNTIFS($A$5:$A$716,A548,$C$5:$C$716,"&gt;"&amp;C548)+1</f>
        <v>3</v>
      </c>
      <c r="G548" s="9" t="n">
        <f aca="false">C548/SUMIFS($C$5:$C$716,$A$5:$A$716,A548)</f>
        <v>0.0902114597544338</v>
      </c>
    </row>
    <row r="549" customFormat="false" ht="15" hidden="false" customHeight="false" outlineLevel="0" collapsed="false">
      <c r="A549" s="7" t="s">
        <v>44</v>
      </c>
      <c r="B549" s="7" t="s">
        <v>627</v>
      </c>
      <c r="C549" s="13" t="n">
        <v>498</v>
      </c>
      <c r="D549" s="8"/>
      <c r="E549" s="12" t="n">
        <f aca="false">RANK(C549,$C$5:$C$716)</f>
        <v>106</v>
      </c>
      <c r="F549" s="12" t="n">
        <f aca="false">COUNTIFS($A$5:$A$716,A549,$C$5:$C$716,"&gt;"&amp;C549)+1</f>
        <v>4</v>
      </c>
      <c r="G549" s="9" t="n">
        <f aca="false">C549/SUMIFS($C$5:$C$716,$A$5:$A$716,A549)</f>
        <v>0.084924965893588</v>
      </c>
    </row>
    <row r="550" customFormat="false" ht="15" hidden="false" customHeight="false" outlineLevel="0" collapsed="false">
      <c r="A550" s="7" t="s">
        <v>44</v>
      </c>
      <c r="B550" s="7" t="s">
        <v>628</v>
      </c>
      <c r="C550" s="13" t="n">
        <v>384</v>
      </c>
      <c r="D550" s="8"/>
      <c r="E550" s="12" t="n">
        <f aca="false">RANK(C550,$C$5:$C$716)</f>
        <v>129</v>
      </c>
      <c r="F550" s="12" t="n">
        <f aca="false">COUNTIFS($A$5:$A$716,A550,$C$5:$C$716,"&gt;"&amp;C550)+1</f>
        <v>5</v>
      </c>
      <c r="G550" s="9" t="n">
        <f aca="false">C550/SUMIFS($C$5:$C$716,$A$5:$A$716,A550)</f>
        <v>0.0654843110504775</v>
      </c>
    </row>
    <row r="551" customFormat="false" ht="15" hidden="false" customHeight="false" outlineLevel="0" collapsed="false">
      <c r="A551" s="7" t="s">
        <v>44</v>
      </c>
      <c r="B551" s="7" t="s">
        <v>629</v>
      </c>
      <c r="C551" s="13" t="n">
        <v>269</v>
      </c>
      <c r="D551" s="8"/>
      <c r="E551" s="12" t="n">
        <f aca="false">RANK(C551,$C$5:$C$716)</f>
        <v>164</v>
      </c>
      <c r="F551" s="12" t="n">
        <f aca="false">COUNTIFS($A$5:$A$716,A551,$C$5:$C$716,"&gt;"&amp;C551)+1</f>
        <v>6</v>
      </c>
      <c r="G551" s="9" t="n">
        <f aca="false">C551/SUMIFS($C$5:$C$716,$A$5:$A$716,A551)</f>
        <v>0.0458731241473397</v>
      </c>
    </row>
    <row r="552" customFormat="false" ht="15" hidden="false" customHeight="false" outlineLevel="0" collapsed="false">
      <c r="A552" s="7" t="s">
        <v>44</v>
      </c>
      <c r="B552" s="7" t="s">
        <v>630</v>
      </c>
      <c r="C552" s="13" t="n">
        <v>229</v>
      </c>
      <c r="D552" s="8"/>
      <c r="E552" s="12" t="n">
        <f aca="false">RANK(C552,$C$5:$C$716)</f>
        <v>196</v>
      </c>
      <c r="F552" s="12" t="n">
        <f aca="false">COUNTIFS($A$5:$A$716,A552,$C$5:$C$716,"&gt;"&amp;C552)+1</f>
        <v>7</v>
      </c>
      <c r="G552" s="9" t="n">
        <f aca="false">C552/SUMIFS($C$5:$C$716,$A$5:$A$716,A552)</f>
        <v>0.0390518417462483</v>
      </c>
    </row>
    <row r="553" customFormat="false" ht="15" hidden="false" customHeight="false" outlineLevel="0" collapsed="false">
      <c r="A553" s="7" t="s">
        <v>44</v>
      </c>
      <c r="B553" s="7" t="s">
        <v>631</v>
      </c>
      <c r="C553" s="13" t="n">
        <v>220</v>
      </c>
      <c r="D553" s="8"/>
      <c r="E553" s="12" t="n">
        <f aca="false">RANK(C553,$C$5:$C$716)</f>
        <v>205</v>
      </c>
      <c r="F553" s="12" t="n">
        <f aca="false">COUNTIFS($A$5:$A$716,A553,$C$5:$C$716,"&gt;"&amp;C553)+1</f>
        <v>8</v>
      </c>
      <c r="G553" s="9" t="n">
        <f aca="false">C553/SUMIFS($C$5:$C$716,$A$5:$A$716,A553)</f>
        <v>0.0375170532060027</v>
      </c>
    </row>
    <row r="554" customFormat="false" ht="15" hidden="false" customHeight="false" outlineLevel="0" collapsed="false">
      <c r="A554" s="7" t="s">
        <v>44</v>
      </c>
      <c r="B554" s="7" t="s">
        <v>632</v>
      </c>
      <c r="C554" s="13" t="n">
        <v>134</v>
      </c>
      <c r="D554" s="8"/>
      <c r="E554" s="12" t="n">
        <f aca="false">RANK(C554,$C$5:$C$716)</f>
        <v>315</v>
      </c>
      <c r="F554" s="12" t="n">
        <f aca="false">COUNTIFS($A$5:$A$716,A554,$C$5:$C$716,"&gt;"&amp;C554)+1</f>
        <v>9</v>
      </c>
      <c r="G554" s="9" t="n">
        <f aca="false">C554/SUMIFS($C$5:$C$716,$A$5:$A$716,A554)</f>
        <v>0.0228512960436562</v>
      </c>
    </row>
    <row r="555" customFormat="false" ht="15" hidden="false" customHeight="false" outlineLevel="0" collapsed="false">
      <c r="A555" s="7" t="s">
        <v>44</v>
      </c>
      <c r="B555" s="7" t="s">
        <v>633</v>
      </c>
      <c r="C555" s="13" t="n">
        <v>105</v>
      </c>
      <c r="D555" s="8"/>
      <c r="E555" s="12" t="n">
        <f aca="false">RANK(C555,$C$5:$C$716)</f>
        <v>383</v>
      </c>
      <c r="F555" s="12" t="n">
        <f aca="false">COUNTIFS($A$5:$A$716,A555,$C$5:$C$716,"&gt;"&amp;C555)+1</f>
        <v>10</v>
      </c>
      <c r="G555" s="9" t="n">
        <f aca="false">C555/SUMIFS($C$5:$C$716,$A$5:$A$716,A555)</f>
        <v>0.0179058663028649</v>
      </c>
    </row>
    <row r="556" customFormat="false" ht="15" hidden="false" customHeight="false" outlineLevel="0" collapsed="false">
      <c r="A556" s="7" t="s">
        <v>44</v>
      </c>
      <c r="B556" s="7" t="s">
        <v>634</v>
      </c>
      <c r="C556" s="13" t="n">
        <v>86</v>
      </c>
      <c r="D556" s="8"/>
      <c r="E556" s="12" t="n">
        <f aca="false">RANK(C556,$C$5:$C$716)</f>
        <v>428</v>
      </c>
      <c r="F556" s="12" t="n">
        <f aca="false">COUNTIFS($A$5:$A$716,A556,$C$5:$C$716,"&gt;"&amp;C556)+1</f>
        <v>11</v>
      </c>
      <c r="G556" s="9" t="n">
        <f aca="false">C556/SUMIFS($C$5:$C$716,$A$5:$A$716,A556)</f>
        <v>0.0146657571623465</v>
      </c>
    </row>
    <row r="557" customFormat="false" ht="15" hidden="false" customHeight="false" outlineLevel="0" collapsed="false">
      <c r="A557" s="7" t="s">
        <v>44</v>
      </c>
      <c r="B557" s="7" t="s">
        <v>635</v>
      </c>
      <c r="C557" s="13" t="n">
        <v>85</v>
      </c>
      <c r="D557" s="8"/>
      <c r="E557" s="12" t="n">
        <f aca="false">RANK(C557,$C$5:$C$716)</f>
        <v>430</v>
      </c>
      <c r="F557" s="12" t="n">
        <f aca="false">COUNTIFS($A$5:$A$716,A557,$C$5:$C$716,"&gt;"&amp;C557)+1</f>
        <v>12</v>
      </c>
      <c r="G557" s="9" t="n">
        <f aca="false">C557/SUMIFS($C$5:$C$716,$A$5:$A$716,A557)</f>
        <v>0.0144952251023192</v>
      </c>
    </row>
    <row r="558" customFormat="false" ht="15" hidden="false" customHeight="false" outlineLevel="0" collapsed="false">
      <c r="A558" s="7" t="s">
        <v>44</v>
      </c>
      <c r="B558" s="7" t="s">
        <v>636</v>
      </c>
      <c r="C558" s="13" t="n">
        <v>81</v>
      </c>
      <c r="D558" s="8"/>
      <c r="E558" s="12" t="n">
        <f aca="false">RANK(C558,$C$5:$C$716)</f>
        <v>450</v>
      </c>
      <c r="F558" s="12" t="n">
        <f aca="false">COUNTIFS($A$5:$A$716,A558,$C$5:$C$716,"&gt;"&amp;C558)+1</f>
        <v>13</v>
      </c>
      <c r="G558" s="9" t="n">
        <f aca="false">C558/SUMIFS($C$5:$C$716,$A$5:$A$716,A558)</f>
        <v>0.0138130968622101</v>
      </c>
    </row>
    <row r="559" customFormat="false" ht="15" hidden="false" customHeight="false" outlineLevel="0" collapsed="false">
      <c r="A559" s="7" t="s">
        <v>44</v>
      </c>
      <c r="B559" s="7" t="s">
        <v>637</v>
      </c>
      <c r="C559" s="13" t="n">
        <v>80</v>
      </c>
      <c r="D559" s="8"/>
      <c r="E559" s="12" t="n">
        <f aca="false">RANK(C559,$C$5:$C$716)</f>
        <v>452</v>
      </c>
      <c r="F559" s="12" t="n">
        <f aca="false">COUNTIFS($A$5:$A$716,A559,$C$5:$C$716,"&gt;"&amp;C559)+1</f>
        <v>14</v>
      </c>
      <c r="G559" s="9" t="n">
        <f aca="false">C559/SUMIFS($C$5:$C$716,$A$5:$A$716,A559)</f>
        <v>0.0136425648021828</v>
      </c>
    </row>
    <row r="560" customFormat="false" ht="15" hidden="false" customHeight="false" outlineLevel="0" collapsed="false">
      <c r="A560" s="7" t="s">
        <v>44</v>
      </c>
      <c r="B560" s="7" t="s">
        <v>638</v>
      </c>
      <c r="C560" s="13" t="n">
        <v>73</v>
      </c>
      <c r="D560" s="8"/>
      <c r="E560" s="12" t="n">
        <f aca="false">RANK(C560,$C$5:$C$716)</f>
        <v>475</v>
      </c>
      <c r="F560" s="12" t="n">
        <f aca="false">COUNTIFS($A$5:$A$716,A560,$C$5:$C$716,"&gt;"&amp;C560)+1</f>
        <v>15</v>
      </c>
      <c r="G560" s="9" t="n">
        <f aca="false">C560/SUMIFS($C$5:$C$716,$A$5:$A$716,A560)</f>
        <v>0.0124488403819918</v>
      </c>
    </row>
    <row r="561" customFormat="false" ht="15" hidden="false" customHeight="false" outlineLevel="0" collapsed="false">
      <c r="A561" s="7" t="s">
        <v>44</v>
      </c>
      <c r="B561" s="7" t="s">
        <v>639</v>
      </c>
      <c r="C561" s="13" t="n">
        <v>72</v>
      </c>
      <c r="D561" s="8"/>
      <c r="E561" s="12" t="n">
        <f aca="false">RANK(C561,$C$5:$C$716)</f>
        <v>480</v>
      </c>
      <c r="F561" s="12" t="n">
        <f aca="false">COUNTIFS($A$5:$A$716,A561,$C$5:$C$716,"&gt;"&amp;C561)+1</f>
        <v>16</v>
      </c>
      <c r="G561" s="9" t="n">
        <f aca="false">C561/SUMIFS($C$5:$C$716,$A$5:$A$716,A561)</f>
        <v>0.0122783083219645</v>
      </c>
    </row>
    <row r="562" customFormat="false" ht="15" hidden="false" customHeight="false" outlineLevel="0" collapsed="false">
      <c r="A562" s="7" t="s">
        <v>44</v>
      </c>
      <c r="B562" s="7" t="s">
        <v>640</v>
      </c>
      <c r="C562" s="13" t="n">
        <v>69</v>
      </c>
      <c r="D562" s="8"/>
      <c r="E562" s="12" t="n">
        <f aca="false">RANK(C562,$C$5:$C$716)</f>
        <v>492</v>
      </c>
      <c r="F562" s="12" t="n">
        <f aca="false">COUNTIFS($A$5:$A$716,A562,$C$5:$C$716,"&gt;"&amp;C562)+1</f>
        <v>17</v>
      </c>
      <c r="G562" s="9" t="n">
        <f aca="false">C562/SUMIFS($C$5:$C$716,$A$5:$A$716,A562)</f>
        <v>0.0117667121418827</v>
      </c>
    </row>
    <row r="563" customFormat="false" ht="15" hidden="false" customHeight="false" outlineLevel="0" collapsed="false">
      <c r="A563" s="7" t="s">
        <v>44</v>
      </c>
      <c r="B563" s="7" t="s">
        <v>641</v>
      </c>
      <c r="C563" s="13" t="n">
        <v>65</v>
      </c>
      <c r="D563" s="8"/>
      <c r="E563" s="12" t="n">
        <f aca="false">RANK(C563,$C$5:$C$716)</f>
        <v>505</v>
      </c>
      <c r="F563" s="12" t="n">
        <f aca="false">COUNTIFS($A$5:$A$716,A563,$C$5:$C$716,"&gt;"&amp;C563)+1</f>
        <v>18</v>
      </c>
      <c r="G563" s="9" t="n">
        <f aca="false">C563/SUMIFS($C$5:$C$716,$A$5:$A$716,A563)</f>
        <v>0.0110845839017735</v>
      </c>
    </row>
    <row r="564" customFormat="false" ht="15" hidden="false" customHeight="false" outlineLevel="0" collapsed="false">
      <c r="A564" s="7" t="s">
        <v>44</v>
      </c>
      <c r="B564" s="7" t="s">
        <v>642</v>
      </c>
      <c r="C564" s="13" t="n">
        <v>58</v>
      </c>
      <c r="D564" s="8"/>
      <c r="E564" s="12" t="n">
        <f aca="false">RANK(C564,$C$5:$C$716)</f>
        <v>528</v>
      </c>
      <c r="F564" s="12" t="n">
        <f aca="false">COUNTIFS($A$5:$A$716,A564,$C$5:$C$716,"&gt;"&amp;C564)+1</f>
        <v>19</v>
      </c>
      <c r="G564" s="9" t="n">
        <f aca="false">C564/SUMIFS($C$5:$C$716,$A$5:$A$716,A564)</f>
        <v>0.00989085948158254</v>
      </c>
    </row>
    <row r="565" customFormat="false" ht="15" hidden="false" customHeight="false" outlineLevel="0" collapsed="false">
      <c r="A565" s="7" t="s">
        <v>44</v>
      </c>
      <c r="B565" s="7" t="s">
        <v>643</v>
      </c>
      <c r="C565" s="13" t="n">
        <v>58</v>
      </c>
      <c r="D565" s="8"/>
      <c r="E565" s="12" t="n">
        <f aca="false">RANK(C565,$C$5:$C$716)</f>
        <v>528</v>
      </c>
      <c r="F565" s="12" t="n">
        <f aca="false">COUNTIFS($A$5:$A$716,A565,$C$5:$C$716,"&gt;"&amp;C565)+1</f>
        <v>19</v>
      </c>
      <c r="G565" s="9" t="n">
        <f aca="false">C565/SUMIFS($C$5:$C$716,$A$5:$A$716,A565)</f>
        <v>0.00989085948158254</v>
      </c>
    </row>
    <row r="566" customFormat="false" ht="15" hidden="false" customHeight="false" outlineLevel="0" collapsed="false">
      <c r="A566" s="7" t="s">
        <v>44</v>
      </c>
      <c r="B566" s="7" t="s">
        <v>644</v>
      </c>
      <c r="C566" s="13" t="n">
        <v>53</v>
      </c>
      <c r="D566" s="8"/>
      <c r="E566" s="12" t="n">
        <f aca="false">RANK(C566,$C$5:$C$716)</f>
        <v>544</v>
      </c>
      <c r="F566" s="12" t="n">
        <f aca="false">COUNTIFS($A$5:$A$716,A566,$C$5:$C$716,"&gt;"&amp;C566)+1</f>
        <v>21</v>
      </c>
      <c r="G566" s="9" t="n">
        <f aca="false">C566/SUMIFS($C$5:$C$716,$A$5:$A$716,A566)</f>
        <v>0.00903819918144611</v>
      </c>
    </row>
    <row r="567" customFormat="false" ht="15" hidden="false" customHeight="false" outlineLevel="0" collapsed="false">
      <c r="A567" s="7" t="s">
        <v>44</v>
      </c>
      <c r="B567" s="7" t="s">
        <v>645</v>
      </c>
      <c r="C567" s="13" t="n">
        <v>50</v>
      </c>
      <c r="D567" s="8"/>
      <c r="E567" s="12" t="n">
        <f aca="false">RANK(C567,$C$5:$C$716)</f>
        <v>555</v>
      </c>
      <c r="F567" s="12" t="n">
        <f aca="false">COUNTIFS($A$5:$A$716,A567,$C$5:$C$716,"&gt;"&amp;C567)+1</f>
        <v>22</v>
      </c>
      <c r="G567" s="9" t="n">
        <f aca="false">C567/SUMIFS($C$5:$C$716,$A$5:$A$716,A567)</f>
        <v>0.00852660300136426</v>
      </c>
    </row>
    <row r="568" customFormat="false" ht="15" hidden="false" customHeight="false" outlineLevel="0" collapsed="false">
      <c r="A568" s="7" t="s">
        <v>44</v>
      </c>
      <c r="B568" s="7" t="s">
        <v>646</v>
      </c>
      <c r="C568" s="13" t="n">
        <v>49</v>
      </c>
      <c r="D568" s="8"/>
      <c r="E568" s="12" t="n">
        <f aca="false">RANK(C568,$C$5:$C$716)</f>
        <v>561</v>
      </c>
      <c r="F568" s="12" t="n">
        <f aca="false">COUNTIFS($A$5:$A$716,A568,$C$5:$C$716,"&gt;"&amp;C568)+1</f>
        <v>23</v>
      </c>
      <c r="G568" s="9" t="n">
        <f aca="false">C568/SUMIFS($C$5:$C$716,$A$5:$A$716,A568)</f>
        <v>0.00835607094133697</v>
      </c>
    </row>
    <row r="569" customFormat="false" ht="15" hidden="false" customHeight="false" outlineLevel="0" collapsed="false">
      <c r="A569" s="7" t="s">
        <v>44</v>
      </c>
      <c r="B569" s="7" t="s">
        <v>647</v>
      </c>
      <c r="C569" s="13" t="n">
        <v>48</v>
      </c>
      <c r="D569" s="8"/>
      <c r="E569" s="12" t="n">
        <f aca="false">RANK(C569,$C$5:$C$716)</f>
        <v>570</v>
      </c>
      <c r="F569" s="12" t="n">
        <f aca="false">COUNTIFS($A$5:$A$716,A569,$C$5:$C$716,"&gt;"&amp;C569)+1</f>
        <v>24</v>
      </c>
      <c r="G569" s="9" t="n">
        <f aca="false">C569/SUMIFS($C$5:$C$716,$A$5:$A$716,A569)</f>
        <v>0.00818553888130969</v>
      </c>
    </row>
    <row r="570" customFormat="false" ht="15" hidden="false" customHeight="false" outlineLevel="0" collapsed="false">
      <c r="A570" s="7" t="s">
        <v>44</v>
      </c>
      <c r="B570" s="7" t="s">
        <v>648</v>
      </c>
      <c r="C570" s="13" t="n">
        <v>34</v>
      </c>
      <c r="D570" s="8"/>
      <c r="E570" s="12" t="n">
        <f aca="false">RANK(C570,$C$5:$C$716)</f>
        <v>655</v>
      </c>
      <c r="F570" s="12" t="n">
        <f aca="false">COUNTIFS($A$5:$A$716,A570,$C$5:$C$716,"&gt;"&amp;C570)+1</f>
        <v>25</v>
      </c>
      <c r="G570" s="9" t="n">
        <f aca="false">C570/SUMIFS($C$5:$C$716,$A$5:$A$716,A570)</f>
        <v>0.00579809004092769</v>
      </c>
    </row>
    <row r="571" customFormat="false" ht="15" hidden="false" customHeight="false" outlineLevel="0" collapsed="false">
      <c r="A571" s="7" t="s">
        <v>46</v>
      </c>
      <c r="B571" s="7" t="s">
        <v>649</v>
      </c>
      <c r="C571" s="13" t="n">
        <v>1956</v>
      </c>
      <c r="D571" s="8"/>
      <c r="E571" s="12" t="n">
        <f aca="false">RANK(C571,$C$5:$C$716)</f>
        <v>33</v>
      </c>
      <c r="F571" s="12" t="n">
        <f aca="false">COUNTIFS($A$5:$A$716,A571,$C$5:$C$716,"&gt;"&amp;C571)+1</f>
        <v>1</v>
      </c>
      <c r="G571" s="9" t="n">
        <f aca="false">C571/SUMIFS($C$5:$C$716,$A$5:$A$716,A571)</f>
        <v>0.404215747055177</v>
      </c>
    </row>
    <row r="572" customFormat="false" ht="15" hidden="false" customHeight="false" outlineLevel="0" collapsed="false">
      <c r="A572" s="7" t="s">
        <v>46</v>
      </c>
      <c r="B572" s="7" t="s">
        <v>650</v>
      </c>
      <c r="C572" s="13" t="n">
        <v>523</v>
      </c>
      <c r="D572" s="8"/>
      <c r="E572" s="12" t="n">
        <f aca="false">RANK(C572,$C$5:$C$716)</f>
        <v>102</v>
      </c>
      <c r="F572" s="12" t="n">
        <f aca="false">COUNTIFS($A$5:$A$716,A572,$C$5:$C$716,"&gt;"&amp;C572)+1</f>
        <v>2</v>
      </c>
      <c r="G572" s="9" t="n">
        <f aca="false">C572/SUMIFS($C$5:$C$716,$A$5:$A$716,A572)</f>
        <v>0.108080181855755</v>
      </c>
    </row>
    <row r="573" customFormat="false" ht="15" hidden="false" customHeight="false" outlineLevel="0" collapsed="false">
      <c r="A573" s="7" t="s">
        <v>46</v>
      </c>
      <c r="B573" s="7" t="s">
        <v>651</v>
      </c>
      <c r="C573" s="13" t="n">
        <v>268</v>
      </c>
      <c r="D573" s="8"/>
      <c r="E573" s="12" t="n">
        <f aca="false">RANK(C573,$C$5:$C$716)</f>
        <v>165</v>
      </c>
      <c r="F573" s="12" t="n">
        <f aca="false">COUNTIFS($A$5:$A$716,A573,$C$5:$C$716,"&gt;"&amp;C573)+1</f>
        <v>3</v>
      </c>
      <c r="G573" s="9" t="n">
        <f aca="false">C573/SUMIFS($C$5:$C$716,$A$5:$A$716,A573)</f>
        <v>0.0553833436660467</v>
      </c>
    </row>
    <row r="574" customFormat="false" ht="15" hidden="false" customHeight="false" outlineLevel="0" collapsed="false">
      <c r="A574" s="7" t="s">
        <v>46</v>
      </c>
      <c r="B574" s="7" t="s">
        <v>652</v>
      </c>
      <c r="C574" s="13" t="n">
        <v>234</v>
      </c>
      <c r="D574" s="8"/>
      <c r="E574" s="12" t="n">
        <f aca="false">RANK(C574,$C$5:$C$716)</f>
        <v>191</v>
      </c>
      <c r="F574" s="12" t="n">
        <f aca="false">COUNTIFS($A$5:$A$716,A574,$C$5:$C$716,"&gt;"&amp;C574)+1</f>
        <v>4</v>
      </c>
      <c r="G574" s="9" t="n">
        <f aca="false">C574/SUMIFS($C$5:$C$716,$A$5:$A$716,A574)</f>
        <v>0.0483570985740856</v>
      </c>
    </row>
    <row r="575" customFormat="false" ht="15" hidden="false" customHeight="false" outlineLevel="0" collapsed="false">
      <c r="A575" s="7" t="s">
        <v>46</v>
      </c>
      <c r="B575" s="7" t="s">
        <v>653</v>
      </c>
      <c r="C575" s="13" t="n">
        <v>150</v>
      </c>
      <c r="D575" s="8"/>
      <c r="E575" s="12" t="n">
        <f aca="false">RANK(C575,$C$5:$C$716)</f>
        <v>289</v>
      </c>
      <c r="F575" s="12" t="n">
        <f aca="false">COUNTIFS($A$5:$A$716,A575,$C$5:$C$716,"&gt;"&amp;C575)+1</f>
        <v>5</v>
      </c>
      <c r="G575" s="9" t="n">
        <f aca="false">C575/SUMIFS($C$5:$C$716,$A$5:$A$716,A575)</f>
        <v>0.0309981401115933</v>
      </c>
    </row>
    <row r="576" customFormat="false" ht="15" hidden="false" customHeight="false" outlineLevel="0" collapsed="false">
      <c r="A576" s="7" t="s">
        <v>46</v>
      </c>
      <c r="B576" s="7" t="s">
        <v>654</v>
      </c>
      <c r="C576" s="13" t="n">
        <v>146</v>
      </c>
      <c r="D576" s="8"/>
      <c r="E576" s="12" t="n">
        <f aca="false">RANK(C576,$C$5:$C$716)</f>
        <v>297</v>
      </c>
      <c r="F576" s="12" t="n">
        <f aca="false">COUNTIFS($A$5:$A$716,A576,$C$5:$C$716,"&gt;"&amp;C576)+1</f>
        <v>6</v>
      </c>
      <c r="G576" s="9" t="n">
        <f aca="false">C576/SUMIFS($C$5:$C$716,$A$5:$A$716,A576)</f>
        <v>0.0301715230419508</v>
      </c>
    </row>
    <row r="577" customFormat="false" ht="15" hidden="false" customHeight="false" outlineLevel="0" collapsed="false">
      <c r="A577" s="7" t="s">
        <v>46</v>
      </c>
      <c r="B577" s="7" t="s">
        <v>655</v>
      </c>
      <c r="C577" s="13" t="n">
        <v>136</v>
      </c>
      <c r="D577" s="8"/>
      <c r="E577" s="12" t="n">
        <f aca="false">RANK(C577,$C$5:$C$716)</f>
        <v>312</v>
      </c>
      <c r="F577" s="12" t="n">
        <f aca="false">COUNTIFS($A$5:$A$716,A577,$C$5:$C$716,"&gt;"&amp;C577)+1</f>
        <v>7</v>
      </c>
      <c r="G577" s="9" t="n">
        <f aca="false">C577/SUMIFS($C$5:$C$716,$A$5:$A$716,A577)</f>
        <v>0.0281049803678446</v>
      </c>
    </row>
    <row r="578" customFormat="false" ht="15" hidden="false" customHeight="false" outlineLevel="0" collapsed="false">
      <c r="A578" s="7" t="s">
        <v>46</v>
      </c>
      <c r="B578" s="7" t="s">
        <v>656</v>
      </c>
      <c r="C578" s="13" t="n">
        <v>135</v>
      </c>
      <c r="D578" s="8"/>
      <c r="E578" s="12" t="n">
        <f aca="false">RANK(C578,$C$5:$C$716)</f>
        <v>313</v>
      </c>
      <c r="F578" s="12" t="n">
        <f aca="false">COUNTIFS($A$5:$A$716,A578,$C$5:$C$716,"&gt;"&amp;C578)+1</f>
        <v>8</v>
      </c>
      <c r="G578" s="9" t="n">
        <f aca="false">C578/SUMIFS($C$5:$C$716,$A$5:$A$716,A578)</f>
        <v>0.027898326100434</v>
      </c>
    </row>
    <row r="579" customFormat="false" ht="15" hidden="false" customHeight="false" outlineLevel="0" collapsed="false">
      <c r="A579" s="7" t="s">
        <v>46</v>
      </c>
      <c r="B579" s="7" t="s">
        <v>657</v>
      </c>
      <c r="C579" s="13" t="n">
        <v>101</v>
      </c>
      <c r="D579" s="8"/>
      <c r="E579" s="12" t="n">
        <f aca="false">RANK(C579,$C$5:$C$716)</f>
        <v>393</v>
      </c>
      <c r="F579" s="12" t="n">
        <f aca="false">COUNTIFS($A$5:$A$716,A579,$C$5:$C$716,"&gt;"&amp;C579)+1</f>
        <v>9</v>
      </c>
      <c r="G579" s="9" t="n">
        <f aca="false">C579/SUMIFS($C$5:$C$716,$A$5:$A$716,A579)</f>
        <v>0.0208720810084728</v>
      </c>
    </row>
    <row r="580" customFormat="false" ht="15" hidden="false" customHeight="false" outlineLevel="0" collapsed="false">
      <c r="A580" s="7" t="s">
        <v>46</v>
      </c>
      <c r="B580" s="7" t="s">
        <v>658</v>
      </c>
      <c r="C580" s="13" t="n">
        <v>100</v>
      </c>
      <c r="D580" s="8"/>
      <c r="E580" s="12" t="n">
        <f aca="false">RANK(C580,$C$5:$C$716)</f>
        <v>397</v>
      </c>
      <c r="F580" s="12" t="n">
        <f aca="false">COUNTIFS($A$5:$A$716,A580,$C$5:$C$716,"&gt;"&amp;C580)+1</f>
        <v>10</v>
      </c>
      <c r="G580" s="9" t="n">
        <f aca="false">C580/SUMIFS($C$5:$C$716,$A$5:$A$716,A580)</f>
        <v>0.0206654267410622</v>
      </c>
    </row>
    <row r="581" customFormat="false" ht="15" hidden="false" customHeight="false" outlineLevel="0" collapsed="false">
      <c r="A581" s="7" t="s">
        <v>46</v>
      </c>
      <c r="B581" s="7" t="s">
        <v>659</v>
      </c>
      <c r="C581" s="13" t="n">
        <v>90</v>
      </c>
      <c r="D581" s="8"/>
      <c r="E581" s="12" t="n">
        <f aca="false">RANK(C581,$C$5:$C$716)</f>
        <v>419</v>
      </c>
      <c r="F581" s="12" t="n">
        <f aca="false">COUNTIFS($A$5:$A$716,A581,$C$5:$C$716,"&gt;"&amp;C581)+1</f>
        <v>11</v>
      </c>
      <c r="G581" s="9" t="n">
        <f aca="false">C581/SUMIFS($C$5:$C$716,$A$5:$A$716,A581)</f>
        <v>0.018598884066956</v>
      </c>
    </row>
    <row r="582" customFormat="false" ht="15" hidden="false" customHeight="false" outlineLevel="0" collapsed="false">
      <c r="A582" s="7" t="s">
        <v>46</v>
      </c>
      <c r="B582" s="7" t="s">
        <v>660</v>
      </c>
      <c r="C582" s="13" t="n">
        <v>84</v>
      </c>
      <c r="D582" s="8"/>
      <c r="E582" s="12" t="n">
        <f aca="false">RANK(C582,$C$5:$C$716)</f>
        <v>432</v>
      </c>
      <c r="F582" s="12" t="n">
        <f aca="false">COUNTIFS($A$5:$A$716,A582,$C$5:$C$716,"&gt;"&amp;C582)+1</f>
        <v>12</v>
      </c>
      <c r="G582" s="9" t="n">
        <f aca="false">C582/SUMIFS($C$5:$C$716,$A$5:$A$716,A582)</f>
        <v>0.0173589584624923</v>
      </c>
    </row>
    <row r="583" customFormat="false" ht="15" hidden="false" customHeight="false" outlineLevel="0" collapsed="false">
      <c r="A583" s="7" t="s">
        <v>46</v>
      </c>
      <c r="B583" s="7" t="s">
        <v>661</v>
      </c>
      <c r="C583" s="13" t="n">
        <v>79</v>
      </c>
      <c r="D583" s="8"/>
      <c r="E583" s="12" t="n">
        <f aca="false">RANK(C583,$C$5:$C$716)</f>
        <v>456</v>
      </c>
      <c r="F583" s="12" t="n">
        <f aca="false">COUNTIFS($A$5:$A$716,A583,$C$5:$C$716,"&gt;"&amp;C583)+1</f>
        <v>13</v>
      </c>
      <c r="G583" s="9" t="n">
        <f aca="false">C583/SUMIFS($C$5:$C$716,$A$5:$A$716,A583)</f>
        <v>0.0163256871254391</v>
      </c>
    </row>
    <row r="584" customFormat="false" ht="15" hidden="false" customHeight="false" outlineLevel="0" collapsed="false">
      <c r="A584" s="7" t="s">
        <v>46</v>
      </c>
      <c r="B584" s="7" t="s">
        <v>662</v>
      </c>
      <c r="C584" s="13" t="n">
        <v>77</v>
      </c>
      <c r="D584" s="8"/>
      <c r="E584" s="12" t="n">
        <f aca="false">RANK(C584,$C$5:$C$716)</f>
        <v>462</v>
      </c>
      <c r="F584" s="12" t="n">
        <f aca="false">COUNTIFS($A$5:$A$716,A584,$C$5:$C$716,"&gt;"&amp;C584)+1</f>
        <v>14</v>
      </c>
      <c r="G584" s="9" t="n">
        <f aca="false">C584/SUMIFS($C$5:$C$716,$A$5:$A$716,A584)</f>
        <v>0.0159123785906179</v>
      </c>
    </row>
    <row r="585" customFormat="false" ht="15" hidden="false" customHeight="false" outlineLevel="0" collapsed="false">
      <c r="A585" s="7" t="s">
        <v>46</v>
      </c>
      <c r="B585" s="7" t="s">
        <v>663</v>
      </c>
      <c r="C585" s="13" t="n">
        <v>76</v>
      </c>
      <c r="D585" s="8"/>
      <c r="E585" s="12" t="n">
        <f aca="false">RANK(C585,$C$5:$C$716)</f>
        <v>467</v>
      </c>
      <c r="F585" s="12" t="n">
        <f aca="false">COUNTIFS($A$5:$A$716,A585,$C$5:$C$716,"&gt;"&amp;C585)+1</f>
        <v>15</v>
      </c>
      <c r="G585" s="9" t="n">
        <f aca="false">C585/SUMIFS($C$5:$C$716,$A$5:$A$716,A585)</f>
        <v>0.0157057243232073</v>
      </c>
    </row>
    <row r="586" customFormat="false" ht="15" hidden="false" customHeight="false" outlineLevel="0" collapsed="false">
      <c r="A586" s="7" t="s">
        <v>46</v>
      </c>
      <c r="B586" s="7" t="s">
        <v>664</v>
      </c>
      <c r="C586" s="13" t="n">
        <v>76</v>
      </c>
      <c r="D586" s="8"/>
      <c r="E586" s="12" t="n">
        <f aca="false">RANK(C586,$C$5:$C$716)</f>
        <v>467</v>
      </c>
      <c r="F586" s="12" t="n">
        <f aca="false">COUNTIFS($A$5:$A$716,A586,$C$5:$C$716,"&gt;"&amp;C586)+1</f>
        <v>15</v>
      </c>
      <c r="G586" s="9" t="n">
        <f aca="false">C586/SUMIFS($C$5:$C$716,$A$5:$A$716,A586)</f>
        <v>0.0157057243232073</v>
      </c>
    </row>
    <row r="587" customFormat="false" ht="15" hidden="false" customHeight="false" outlineLevel="0" collapsed="false">
      <c r="A587" s="7" t="s">
        <v>46</v>
      </c>
      <c r="B587" s="7" t="s">
        <v>665</v>
      </c>
      <c r="C587" s="13" t="n">
        <v>73</v>
      </c>
      <c r="D587" s="8"/>
      <c r="E587" s="12" t="n">
        <f aca="false">RANK(C587,$C$5:$C$716)</f>
        <v>475</v>
      </c>
      <c r="F587" s="12" t="n">
        <f aca="false">COUNTIFS($A$5:$A$716,A587,$C$5:$C$716,"&gt;"&amp;C587)+1</f>
        <v>17</v>
      </c>
      <c r="G587" s="9" t="n">
        <f aca="false">C587/SUMIFS($C$5:$C$716,$A$5:$A$716,A587)</f>
        <v>0.0150857615209754</v>
      </c>
    </row>
    <row r="588" customFormat="false" ht="15" hidden="false" customHeight="false" outlineLevel="0" collapsed="false">
      <c r="A588" s="7" t="s">
        <v>46</v>
      </c>
      <c r="B588" s="7" t="s">
        <v>666</v>
      </c>
      <c r="C588" s="13" t="n">
        <v>66</v>
      </c>
      <c r="D588" s="8"/>
      <c r="E588" s="12" t="n">
        <f aca="false">RANK(C588,$C$5:$C$716)</f>
        <v>500</v>
      </c>
      <c r="F588" s="12" t="n">
        <f aca="false">COUNTIFS($A$5:$A$716,A588,$C$5:$C$716,"&gt;"&amp;C588)+1</f>
        <v>18</v>
      </c>
      <c r="G588" s="9" t="n">
        <f aca="false">C588/SUMIFS($C$5:$C$716,$A$5:$A$716,A588)</f>
        <v>0.0136391816491011</v>
      </c>
    </row>
    <row r="589" customFormat="false" ht="15" hidden="false" customHeight="false" outlineLevel="0" collapsed="false">
      <c r="A589" s="7" t="s">
        <v>46</v>
      </c>
      <c r="B589" s="7" t="s">
        <v>667</v>
      </c>
      <c r="C589" s="13" t="n">
        <v>63</v>
      </c>
      <c r="D589" s="8"/>
      <c r="E589" s="12" t="n">
        <f aca="false">RANK(C589,$C$5:$C$716)</f>
        <v>511</v>
      </c>
      <c r="F589" s="12" t="n">
        <f aca="false">COUNTIFS($A$5:$A$716,A589,$C$5:$C$716,"&gt;"&amp;C589)+1</f>
        <v>19</v>
      </c>
      <c r="G589" s="9" t="n">
        <f aca="false">C589/SUMIFS($C$5:$C$716,$A$5:$A$716,A589)</f>
        <v>0.0130192188468692</v>
      </c>
    </row>
    <row r="590" customFormat="false" ht="15" hidden="false" customHeight="false" outlineLevel="0" collapsed="false">
      <c r="A590" s="7" t="s">
        <v>46</v>
      </c>
      <c r="B590" s="7" t="s">
        <v>668</v>
      </c>
      <c r="C590" s="13" t="n">
        <v>58</v>
      </c>
      <c r="D590" s="8"/>
      <c r="E590" s="12" t="n">
        <f aca="false">RANK(C590,$C$5:$C$716)</f>
        <v>528</v>
      </c>
      <c r="F590" s="12" t="n">
        <f aca="false">COUNTIFS($A$5:$A$716,A590,$C$5:$C$716,"&gt;"&amp;C590)+1</f>
        <v>20</v>
      </c>
      <c r="G590" s="9" t="n">
        <f aca="false">C590/SUMIFS($C$5:$C$716,$A$5:$A$716,A590)</f>
        <v>0.0119859475098161</v>
      </c>
    </row>
    <row r="591" customFormat="false" ht="15" hidden="false" customHeight="false" outlineLevel="0" collapsed="false">
      <c r="A591" s="7" t="s">
        <v>46</v>
      </c>
      <c r="B591" s="7" t="s">
        <v>669</v>
      </c>
      <c r="C591" s="13" t="n">
        <v>53</v>
      </c>
      <c r="D591" s="8"/>
      <c r="E591" s="12" t="n">
        <f aca="false">RANK(C591,$C$5:$C$716)</f>
        <v>544</v>
      </c>
      <c r="F591" s="12" t="n">
        <f aca="false">COUNTIFS($A$5:$A$716,A591,$C$5:$C$716,"&gt;"&amp;C591)+1</f>
        <v>21</v>
      </c>
      <c r="G591" s="9" t="n">
        <f aca="false">C591/SUMIFS($C$5:$C$716,$A$5:$A$716,A591)</f>
        <v>0.010952676172763</v>
      </c>
    </row>
    <row r="592" customFormat="false" ht="15" hidden="false" customHeight="false" outlineLevel="0" collapsed="false">
      <c r="A592" s="7" t="s">
        <v>46</v>
      </c>
      <c r="B592" s="7" t="s">
        <v>670</v>
      </c>
      <c r="C592" s="13" t="n">
        <v>51</v>
      </c>
      <c r="D592" s="8"/>
      <c r="E592" s="12" t="n">
        <f aca="false">RANK(C592,$C$5:$C$716)</f>
        <v>550</v>
      </c>
      <c r="F592" s="12" t="n">
        <f aca="false">COUNTIFS($A$5:$A$716,A592,$C$5:$C$716,"&gt;"&amp;C592)+1</f>
        <v>22</v>
      </c>
      <c r="G592" s="9" t="n">
        <f aca="false">C592/SUMIFS($C$5:$C$716,$A$5:$A$716,A592)</f>
        <v>0.0105393676379417</v>
      </c>
    </row>
    <row r="593" customFormat="false" ht="15" hidden="false" customHeight="false" outlineLevel="0" collapsed="false">
      <c r="A593" s="7" t="s">
        <v>46</v>
      </c>
      <c r="B593" s="7" t="s">
        <v>671</v>
      </c>
      <c r="C593" s="13" t="n">
        <v>49</v>
      </c>
      <c r="D593" s="8"/>
      <c r="E593" s="12" t="n">
        <f aca="false">RANK(C593,$C$5:$C$716)</f>
        <v>561</v>
      </c>
      <c r="F593" s="12" t="n">
        <f aca="false">COUNTIFS($A$5:$A$716,A593,$C$5:$C$716,"&gt;"&amp;C593)+1</f>
        <v>23</v>
      </c>
      <c r="G593" s="9" t="n">
        <f aca="false">C593/SUMIFS($C$5:$C$716,$A$5:$A$716,A593)</f>
        <v>0.0101260591031205</v>
      </c>
    </row>
    <row r="594" customFormat="false" ht="15" hidden="false" customHeight="false" outlineLevel="0" collapsed="false">
      <c r="A594" s="7" t="s">
        <v>46</v>
      </c>
      <c r="B594" s="7" t="s">
        <v>672</v>
      </c>
      <c r="C594" s="13" t="n">
        <v>46</v>
      </c>
      <c r="D594" s="8"/>
      <c r="E594" s="12" t="n">
        <f aca="false">RANK(C594,$C$5:$C$716)</f>
        <v>580</v>
      </c>
      <c r="F594" s="12" t="n">
        <f aca="false">COUNTIFS($A$5:$A$716,A594,$C$5:$C$716,"&gt;"&amp;C594)+1</f>
        <v>24</v>
      </c>
      <c r="G594" s="9" t="n">
        <f aca="false">C594/SUMIFS($C$5:$C$716,$A$5:$A$716,A594)</f>
        <v>0.00950609630088861</v>
      </c>
    </row>
    <row r="595" customFormat="false" ht="15" hidden="false" customHeight="false" outlineLevel="0" collapsed="false">
      <c r="A595" s="7" t="s">
        <v>46</v>
      </c>
      <c r="B595" s="7" t="s">
        <v>673</v>
      </c>
      <c r="C595" s="13" t="n">
        <v>41</v>
      </c>
      <c r="D595" s="8"/>
      <c r="E595" s="12" t="n">
        <f aca="false">RANK(C595,$C$5:$C$716)</f>
        <v>609</v>
      </c>
      <c r="F595" s="12" t="n">
        <f aca="false">COUNTIFS($A$5:$A$716,A595,$C$5:$C$716,"&gt;"&amp;C595)+1</f>
        <v>25</v>
      </c>
      <c r="G595" s="9" t="n">
        <f aca="false">C595/SUMIFS($C$5:$C$716,$A$5:$A$716,A595)</f>
        <v>0.0084728249638355</v>
      </c>
    </row>
    <row r="596" customFormat="false" ht="15" hidden="false" customHeight="false" outlineLevel="0" collapsed="false">
      <c r="A596" s="7" t="s">
        <v>46</v>
      </c>
      <c r="B596" s="7" t="s">
        <v>674</v>
      </c>
      <c r="C596" s="13" t="n">
        <v>39</v>
      </c>
      <c r="D596" s="8"/>
      <c r="E596" s="12" t="n">
        <f aca="false">RANK(C596,$C$5:$C$716)</f>
        <v>623</v>
      </c>
      <c r="F596" s="12" t="n">
        <f aca="false">COUNTIFS($A$5:$A$716,A596,$C$5:$C$716,"&gt;"&amp;C596)+1</f>
        <v>26</v>
      </c>
      <c r="G596" s="9" t="n">
        <f aca="false">C596/SUMIFS($C$5:$C$716,$A$5:$A$716,A596)</f>
        <v>0.00805951642901426</v>
      </c>
    </row>
    <row r="597" customFormat="false" ht="15" hidden="false" customHeight="false" outlineLevel="0" collapsed="false">
      <c r="A597" s="7" t="s">
        <v>46</v>
      </c>
      <c r="B597" s="7" t="s">
        <v>675</v>
      </c>
      <c r="C597" s="13" t="n">
        <v>36</v>
      </c>
      <c r="D597" s="8"/>
      <c r="E597" s="12" t="n">
        <f aca="false">RANK(C597,$C$5:$C$716)</f>
        <v>639</v>
      </c>
      <c r="F597" s="12" t="n">
        <f aca="false">COUNTIFS($A$5:$A$716,A597,$C$5:$C$716,"&gt;"&amp;C597)+1</f>
        <v>27</v>
      </c>
      <c r="G597" s="9" t="n">
        <f aca="false">C597/SUMIFS($C$5:$C$716,$A$5:$A$716,A597)</f>
        <v>0.00743955362678239</v>
      </c>
    </row>
    <row r="598" customFormat="false" ht="15" hidden="false" customHeight="false" outlineLevel="0" collapsed="false">
      <c r="A598" s="7" t="s">
        <v>46</v>
      </c>
      <c r="B598" s="7" t="s">
        <v>676</v>
      </c>
      <c r="C598" s="13" t="n">
        <v>33</v>
      </c>
      <c r="D598" s="8"/>
      <c r="E598" s="12" t="n">
        <f aca="false">RANK(C598,$C$5:$C$716)</f>
        <v>661</v>
      </c>
      <c r="F598" s="12" t="n">
        <f aca="false">COUNTIFS($A$5:$A$716,A598,$C$5:$C$716,"&gt;"&amp;C598)+1</f>
        <v>28</v>
      </c>
      <c r="G598" s="9" t="n">
        <f aca="false">C598/SUMIFS($C$5:$C$716,$A$5:$A$716,A598)</f>
        <v>0.00681959082455053</v>
      </c>
    </row>
    <row r="599" customFormat="false" ht="15" hidden="false" customHeight="false" outlineLevel="0" collapsed="false">
      <c r="A599" s="7" t="s">
        <v>47</v>
      </c>
      <c r="B599" s="7" t="s">
        <v>677</v>
      </c>
      <c r="C599" s="13" t="n">
        <v>1971</v>
      </c>
      <c r="D599" s="8"/>
      <c r="E599" s="12" t="n">
        <f aca="false">RANK(C599,$C$5:$C$716)</f>
        <v>32</v>
      </c>
      <c r="F599" s="12" t="n">
        <f aca="false">COUNTIFS($A$5:$A$716,A599,$C$5:$C$716,"&gt;"&amp;C599)+1</f>
        <v>1</v>
      </c>
      <c r="G599" s="9" t="n">
        <f aca="false">C599/SUMIFS($C$5:$C$716,$A$5:$A$716,A599)</f>
        <v>0.405388728918141</v>
      </c>
    </row>
    <row r="600" customFormat="false" ht="15" hidden="false" customHeight="false" outlineLevel="0" collapsed="false">
      <c r="A600" s="7" t="s">
        <v>47</v>
      </c>
      <c r="B600" s="7" t="s">
        <v>678</v>
      </c>
      <c r="C600" s="13" t="n">
        <v>801</v>
      </c>
      <c r="D600" s="8"/>
      <c r="E600" s="12" t="n">
        <f aca="false">RANK(C600,$C$5:$C$716)</f>
        <v>64</v>
      </c>
      <c r="F600" s="12" t="n">
        <f aca="false">COUNTIFS($A$5:$A$716,A600,$C$5:$C$716,"&gt;"&amp;C600)+1</f>
        <v>2</v>
      </c>
      <c r="G600" s="9" t="n">
        <f aca="false">C600/SUMIFS($C$5:$C$716,$A$5:$A$716,A600)</f>
        <v>0.164747017688194</v>
      </c>
    </row>
    <row r="601" customFormat="false" ht="15" hidden="false" customHeight="false" outlineLevel="0" collapsed="false">
      <c r="A601" s="7" t="s">
        <v>47</v>
      </c>
      <c r="B601" s="7" t="s">
        <v>679</v>
      </c>
      <c r="C601" s="13" t="n">
        <v>578</v>
      </c>
      <c r="D601" s="8"/>
      <c r="E601" s="12" t="n">
        <f aca="false">RANK(C601,$C$5:$C$716)</f>
        <v>92</v>
      </c>
      <c r="F601" s="12" t="n">
        <f aca="false">COUNTIFS($A$5:$A$716,A601,$C$5:$C$716,"&gt;"&amp;C601)+1</f>
        <v>3</v>
      </c>
      <c r="G601" s="9" t="n">
        <f aca="false">C601/SUMIFS($C$5:$C$716,$A$5:$A$716,A601)</f>
        <v>0.118881118881119</v>
      </c>
    </row>
    <row r="602" customFormat="false" ht="15" hidden="false" customHeight="false" outlineLevel="0" collapsed="false">
      <c r="A602" s="7" t="s">
        <v>47</v>
      </c>
      <c r="B602" s="7" t="s">
        <v>680</v>
      </c>
      <c r="C602" s="13" t="n">
        <v>208</v>
      </c>
      <c r="D602" s="8"/>
      <c r="E602" s="12" t="n">
        <f aca="false">RANK(C602,$C$5:$C$716)</f>
        <v>219</v>
      </c>
      <c r="F602" s="12" t="n">
        <f aca="false">COUNTIFS($A$5:$A$716,A602,$C$5:$C$716,"&gt;"&amp;C602)+1</f>
        <v>4</v>
      </c>
      <c r="G602" s="9" t="n">
        <f aca="false">C602/SUMIFS($C$5:$C$716,$A$5:$A$716,A602)</f>
        <v>0.0427807486631016</v>
      </c>
    </row>
    <row r="603" customFormat="false" ht="15" hidden="false" customHeight="false" outlineLevel="0" collapsed="false">
      <c r="A603" s="7" t="s">
        <v>47</v>
      </c>
      <c r="B603" s="7" t="s">
        <v>681</v>
      </c>
      <c r="C603" s="13" t="n">
        <v>205</v>
      </c>
      <c r="D603" s="8"/>
      <c r="E603" s="12" t="n">
        <f aca="false">RANK(C603,$C$5:$C$716)</f>
        <v>223</v>
      </c>
      <c r="F603" s="12" t="n">
        <f aca="false">COUNTIFS($A$5:$A$716,A603,$C$5:$C$716,"&gt;"&amp;C603)+1</f>
        <v>5</v>
      </c>
      <c r="G603" s="9" t="n">
        <f aca="false">C603/SUMIFS($C$5:$C$716,$A$5:$A$716,A603)</f>
        <v>0.0421637186343069</v>
      </c>
    </row>
    <row r="604" customFormat="false" ht="15" hidden="false" customHeight="false" outlineLevel="0" collapsed="false">
      <c r="A604" s="7" t="s">
        <v>47</v>
      </c>
      <c r="B604" s="7" t="s">
        <v>682</v>
      </c>
      <c r="C604" s="13" t="n">
        <v>142</v>
      </c>
      <c r="D604" s="8"/>
      <c r="E604" s="12" t="n">
        <f aca="false">RANK(C604,$C$5:$C$716)</f>
        <v>302</v>
      </c>
      <c r="F604" s="12" t="n">
        <f aca="false">COUNTIFS($A$5:$A$716,A604,$C$5:$C$716,"&gt;"&amp;C604)+1</f>
        <v>6</v>
      </c>
      <c r="G604" s="9" t="n">
        <f aca="false">C604/SUMIFS($C$5:$C$716,$A$5:$A$716,A604)</f>
        <v>0.0292060880296174</v>
      </c>
    </row>
    <row r="605" customFormat="false" ht="15" hidden="false" customHeight="false" outlineLevel="0" collapsed="false">
      <c r="A605" s="7" t="s">
        <v>47</v>
      </c>
      <c r="B605" s="7" t="s">
        <v>683</v>
      </c>
      <c r="C605" s="13" t="n">
        <v>142</v>
      </c>
      <c r="D605" s="8"/>
      <c r="E605" s="12" t="n">
        <f aca="false">RANK(C605,$C$5:$C$716)</f>
        <v>302</v>
      </c>
      <c r="F605" s="12" t="n">
        <f aca="false">COUNTIFS($A$5:$A$716,A605,$C$5:$C$716,"&gt;"&amp;C605)+1</f>
        <v>6</v>
      </c>
      <c r="G605" s="9" t="n">
        <f aca="false">C605/SUMIFS($C$5:$C$716,$A$5:$A$716,A605)</f>
        <v>0.0292060880296174</v>
      </c>
    </row>
    <row r="606" customFormat="false" ht="15" hidden="false" customHeight="false" outlineLevel="0" collapsed="false">
      <c r="A606" s="7" t="s">
        <v>47</v>
      </c>
      <c r="B606" s="7" t="s">
        <v>684</v>
      </c>
      <c r="C606" s="13" t="n">
        <v>115</v>
      </c>
      <c r="D606" s="8"/>
      <c r="E606" s="12" t="n">
        <f aca="false">RANK(C606,$C$5:$C$716)</f>
        <v>359</v>
      </c>
      <c r="F606" s="12" t="n">
        <f aca="false">COUNTIFS($A$5:$A$716,A606,$C$5:$C$716,"&gt;"&amp;C606)+1</f>
        <v>8</v>
      </c>
      <c r="G606" s="9" t="n">
        <f aca="false">C606/SUMIFS($C$5:$C$716,$A$5:$A$716,A606)</f>
        <v>0.0236528177704648</v>
      </c>
    </row>
    <row r="607" customFormat="false" ht="15" hidden="false" customHeight="false" outlineLevel="0" collapsed="false">
      <c r="A607" s="7" t="s">
        <v>47</v>
      </c>
      <c r="B607" s="7" t="s">
        <v>685</v>
      </c>
      <c r="C607" s="13" t="n">
        <v>97</v>
      </c>
      <c r="D607" s="8"/>
      <c r="E607" s="12" t="n">
        <f aca="false">RANK(C607,$C$5:$C$716)</f>
        <v>403</v>
      </c>
      <c r="F607" s="12" t="n">
        <f aca="false">COUNTIFS($A$5:$A$716,A607,$C$5:$C$716,"&gt;"&amp;C607)+1</f>
        <v>9</v>
      </c>
      <c r="G607" s="9" t="n">
        <f aca="false">C607/SUMIFS($C$5:$C$716,$A$5:$A$716,A607)</f>
        <v>0.0199506375976964</v>
      </c>
    </row>
    <row r="608" customFormat="false" ht="15" hidden="false" customHeight="false" outlineLevel="0" collapsed="false">
      <c r="A608" s="7" t="s">
        <v>47</v>
      </c>
      <c r="B608" s="7" t="s">
        <v>686</v>
      </c>
      <c r="C608" s="13" t="n">
        <v>96</v>
      </c>
      <c r="D608" s="8"/>
      <c r="E608" s="12" t="n">
        <f aca="false">RANK(C608,$C$5:$C$716)</f>
        <v>405</v>
      </c>
      <c r="F608" s="12" t="n">
        <f aca="false">COUNTIFS($A$5:$A$716,A608,$C$5:$C$716,"&gt;"&amp;C608)+1</f>
        <v>10</v>
      </c>
      <c r="G608" s="9" t="n">
        <f aca="false">C608/SUMIFS($C$5:$C$716,$A$5:$A$716,A608)</f>
        <v>0.0197449609214315</v>
      </c>
    </row>
    <row r="609" customFormat="false" ht="15" hidden="false" customHeight="false" outlineLevel="0" collapsed="false">
      <c r="A609" s="7" t="s">
        <v>47</v>
      </c>
      <c r="B609" s="7" t="s">
        <v>687</v>
      </c>
      <c r="C609" s="13" t="n">
        <v>69</v>
      </c>
      <c r="D609" s="8"/>
      <c r="E609" s="12" t="n">
        <f aca="false">RANK(C609,$C$5:$C$716)</f>
        <v>492</v>
      </c>
      <c r="F609" s="12" t="n">
        <f aca="false">COUNTIFS($A$5:$A$716,A609,$C$5:$C$716,"&gt;"&amp;C609)+1</f>
        <v>11</v>
      </c>
      <c r="G609" s="9" t="n">
        <f aca="false">C609/SUMIFS($C$5:$C$716,$A$5:$A$716,A609)</f>
        <v>0.0141916906622789</v>
      </c>
    </row>
    <row r="610" customFormat="false" ht="15" hidden="false" customHeight="false" outlineLevel="0" collapsed="false">
      <c r="A610" s="7" t="s">
        <v>47</v>
      </c>
      <c r="B610" s="7" t="s">
        <v>688</v>
      </c>
      <c r="C610" s="13" t="n">
        <v>51</v>
      </c>
      <c r="D610" s="8"/>
      <c r="E610" s="12" t="n">
        <f aca="false">RANK(C610,$C$5:$C$716)</f>
        <v>550</v>
      </c>
      <c r="F610" s="12" t="n">
        <f aca="false">COUNTIFS($A$5:$A$716,A610,$C$5:$C$716,"&gt;"&amp;C610)+1</f>
        <v>12</v>
      </c>
      <c r="G610" s="9" t="n">
        <f aca="false">C610/SUMIFS($C$5:$C$716,$A$5:$A$716,A610)</f>
        <v>0.0104895104895105</v>
      </c>
    </row>
    <row r="611" customFormat="false" ht="15" hidden="false" customHeight="false" outlineLevel="0" collapsed="false">
      <c r="A611" s="7" t="s">
        <v>47</v>
      </c>
      <c r="B611" s="7" t="s">
        <v>689</v>
      </c>
      <c r="C611" s="13" t="n">
        <v>50</v>
      </c>
      <c r="D611" s="8"/>
      <c r="E611" s="12" t="n">
        <f aca="false">RANK(C611,$C$5:$C$716)</f>
        <v>555</v>
      </c>
      <c r="F611" s="12" t="n">
        <f aca="false">COUNTIFS($A$5:$A$716,A611,$C$5:$C$716,"&gt;"&amp;C611)+1</f>
        <v>13</v>
      </c>
      <c r="G611" s="9" t="n">
        <f aca="false">C611/SUMIFS($C$5:$C$716,$A$5:$A$716,A611)</f>
        <v>0.0102838338132456</v>
      </c>
    </row>
    <row r="612" customFormat="false" ht="15" hidden="false" customHeight="false" outlineLevel="0" collapsed="false">
      <c r="A612" s="7" t="s">
        <v>47</v>
      </c>
      <c r="B612" s="7" t="s">
        <v>690</v>
      </c>
      <c r="C612" s="13" t="n">
        <v>46</v>
      </c>
      <c r="D612" s="8"/>
      <c r="E612" s="12" t="n">
        <f aca="false">RANK(C612,$C$5:$C$716)</f>
        <v>580</v>
      </c>
      <c r="F612" s="12" t="n">
        <f aca="false">COUNTIFS($A$5:$A$716,A612,$C$5:$C$716,"&gt;"&amp;C612)+1</f>
        <v>14</v>
      </c>
      <c r="G612" s="9" t="n">
        <f aca="false">C612/SUMIFS($C$5:$C$716,$A$5:$A$716,A612)</f>
        <v>0.00946112710818593</v>
      </c>
    </row>
    <row r="613" customFormat="false" ht="15" hidden="false" customHeight="false" outlineLevel="0" collapsed="false">
      <c r="A613" s="7" t="s">
        <v>47</v>
      </c>
      <c r="B613" s="7" t="s">
        <v>691</v>
      </c>
      <c r="C613" s="13" t="n">
        <v>46</v>
      </c>
      <c r="D613" s="8"/>
      <c r="E613" s="12" t="n">
        <f aca="false">RANK(C613,$C$5:$C$716)</f>
        <v>580</v>
      </c>
      <c r="F613" s="12" t="n">
        <f aca="false">COUNTIFS($A$5:$A$716,A613,$C$5:$C$716,"&gt;"&amp;C613)+1</f>
        <v>14</v>
      </c>
      <c r="G613" s="9" t="n">
        <f aca="false">C613/SUMIFS($C$5:$C$716,$A$5:$A$716,A613)</f>
        <v>0.00946112710818593</v>
      </c>
    </row>
    <row r="614" customFormat="false" ht="15" hidden="false" customHeight="false" outlineLevel="0" collapsed="false">
      <c r="A614" s="7" t="s">
        <v>47</v>
      </c>
      <c r="B614" s="7" t="s">
        <v>692</v>
      </c>
      <c r="C614" s="13" t="n">
        <v>43</v>
      </c>
      <c r="D614" s="8"/>
      <c r="E614" s="12" t="n">
        <f aca="false">RANK(C614,$C$5:$C$716)</f>
        <v>599</v>
      </c>
      <c r="F614" s="12" t="n">
        <f aca="false">COUNTIFS($A$5:$A$716,A614,$C$5:$C$716,"&gt;"&amp;C614)+1</f>
        <v>16</v>
      </c>
      <c r="G614" s="9" t="n">
        <f aca="false">C614/SUMIFS($C$5:$C$716,$A$5:$A$716,A614)</f>
        <v>0.0088440970793912</v>
      </c>
    </row>
    <row r="615" customFormat="false" ht="15" hidden="false" customHeight="false" outlineLevel="0" collapsed="false">
      <c r="A615" s="7" t="s">
        <v>47</v>
      </c>
      <c r="B615" s="7" t="s">
        <v>693</v>
      </c>
      <c r="C615" s="13" t="n">
        <v>40</v>
      </c>
      <c r="D615" s="8"/>
      <c r="E615" s="12" t="n">
        <f aca="false">RANK(C615,$C$5:$C$716)</f>
        <v>615</v>
      </c>
      <c r="F615" s="12" t="n">
        <f aca="false">COUNTIFS($A$5:$A$716,A615,$C$5:$C$716,"&gt;"&amp;C615)+1</f>
        <v>17</v>
      </c>
      <c r="G615" s="9" t="n">
        <f aca="false">C615/SUMIFS($C$5:$C$716,$A$5:$A$716,A615)</f>
        <v>0.00822706705059646</v>
      </c>
    </row>
    <row r="616" customFormat="false" ht="15" hidden="false" customHeight="false" outlineLevel="0" collapsed="false">
      <c r="A616" s="7" t="s">
        <v>47</v>
      </c>
      <c r="B616" s="7" t="s">
        <v>694</v>
      </c>
      <c r="C616" s="13" t="n">
        <v>38</v>
      </c>
      <c r="D616" s="8"/>
      <c r="E616" s="12" t="n">
        <f aca="false">RANK(C616,$C$5:$C$716)</f>
        <v>629</v>
      </c>
      <c r="F616" s="12" t="n">
        <f aca="false">COUNTIFS($A$5:$A$716,A616,$C$5:$C$716,"&gt;"&amp;C616)+1</f>
        <v>18</v>
      </c>
      <c r="G616" s="9" t="n">
        <f aca="false">C616/SUMIFS($C$5:$C$716,$A$5:$A$716,A616)</f>
        <v>0.00781571369806664</v>
      </c>
    </row>
    <row r="617" customFormat="false" ht="15" hidden="false" customHeight="false" outlineLevel="0" collapsed="false">
      <c r="A617" s="7" t="s">
        <v>47</v>
      </c>
      <c r="B617" s="7" t="s">
        <v>695</v>
      </c>
      <c r="C617" s="13" t="n">
        <v>36</v>
      </c>
      <c r="D617" s="8"/>
      <c r="E617" s="12" t="n">
        <f aca="false">RANK(C617,$C$5:$C$716)</f>
        <v>639</v>
      </c>
      <c r="F617" s="12" t="n">
        <f aca="false">COUNTIFS($A$5:$A$716,A617,$C$5:$C$716,"&gt;"&amp;C617)+1</f>
        <v>19</v>
      </c>
      <c r="G617" s="9" t="n">
        <f aca="false">C617/SUMIFS($C$5:$C$716,$A$5:$A$716,A617)</f>
        <v>0.00740436034553682</v>
      </c>
    </row>
    <row r="618" customFormat="false" ht="15" hidden="false" customHeight="false" outlineLevel="0" collapsed="false">
      <c r="A618" s="7" t="s">
        <v>47</v>
      </c>
      <c r="B618" s="7" t="s">
        <v>696</v>
      </c>
      <c r="C618" s="13" t="n">
        <v>36</v>
      </c>
      <c r="D618" s="8"/>
      <c r="E618" s="12" t="n">
        <f aca="false">RANK(C618,$C$5:$C$716)</f>
        <v>639</v>
      </c>
      <c r="F618" s="12" t="n">
        <f aca="false">COUNTIFS($A$5:$A$716,A618,$C$5:$C$716,"&gt;"&amp;C618)+1</f>
        <v>19</v>
      </c>
      <c r="G618" s="9" t="n">
        <f aca="false">C618/SUMIFS($C$5:$C$716,$A$5:$A$716,A618)</f>
        <v>0.00740436034553682</v>
      </c>
    </row>
    <row r="619" customFormat="false" ht="15" hidden="false" customHeight="false" outlineLevel="0" collapsed="false">
      <c r="A619" s="7" t="s">
        <v>47</v>
      </c>
      <c r="B619" s="7" t="s">
        <v>697</v>
      </c>
      <c r="C619" s="13" t="n">
        <v>27</v>
      </c>
      <c r="D619" s="8"/>
      <c r="E619" s="12" t="n">
        <f aca="false">RANK(C619,$C$5:$C$716)</f>
        <v>700</v>
      </c>
      <c r="F619" s="12" t="n">
        <f aca="false">COUNTIFS($A$5:$A$716,A619,$C$5:$C$716,"&gt;"&amp;C619)+1</f>
        <v>21</v>
      </c>
      <c r="G619" s="9" t="n">
        <f aca="false">C619/SUMIFS($C$5:$C$716,$A$5:$A$716,A619)</f>
        <v>0.00555327025915261</v>
      </c>
    </row>
    <row r="620" customFormat="false" ht="15" hidden="false" customHeight="false" outlineLevel="0" collapsed="false">
      <c r="A620" s="7" t="s">
        <v>47</v>
      </c>
      <c r="B620" s="7" t="s">
        <v>698</v>
      </c>
      <c r="C620" s="13" t="n">
        <v>25</v>
      </c>
      <c r="D620" s="8"/>
      <c r="E620" s="12" t="n">
        <f aca="false">RANK(C620,$C$5:$C$716)</f>
        <v>708</v>
      </c>
      <c r="F620" s="12" t="n">
        <f aca="false">COUNTIFS($A$5:$A$716,A620,$C$5:$C$716,"&gt;"&amp;C620)+1</f>
        <v>22</v>
      </c>
      <c r="G620" s="9" t="n">
        <f aca="false">C620/SUMIFS($C$5:$C$716,$A$5:$A$716,A620)</f>
        <v>0.00514191690662279</v>
      </c>
    </row>
    <row r="621" customFormat="false" ht="15" hidden="false" customHeight="false" outlineLevel="0" collapsed="false">
      <c r="A621" s="7" t="s">
        <v>45</v>
      </c>
      <c r="B621" s="7" t="s">
        <v>699</v>
      </c>
      <c r="C621" s="13" t="n">
        <v>2246</v>
      </c>
      <c r="D621" s="8"/>
      <c r="E621" s="12" t="n">
        <f aca="false">RANK(C621,$C$5:$C$716)</f>
        <v>29</v>
      </c>
      <c r="F621" s="12" t="n">
        <f aca="false">COUNTIFS($A$5:$A$716,A621,$C$5:$C$716,"&gt;"&amp;C621)+1</f>
        <v>1</v>
      </c>
      <c r="G621" s="9" t="n">
        <f aca="false">C621/SUMIFS($C$5:$C$716,$A$5:$A$716,A621)</f>
        <v>0.505628095452499</v>
      </c>
    </row>
    <row r="622" customFormat="false" ht="15" hidden="false" customHeight="false" outlineLevel="0" collapsed="false">
      <c r="A622" s="7" t="s">
        <v>45</v>
      </c>
      <c r="B622" s="7" t="s">
        <v>700</v>
      </c>
      <c r="C622" s="13" t="n">
        <v>650</v>
      </c>
      <c r="D622" s="8"/>
      <c r="E622" s="12" t="n">
        <f aca="false">RANK(C622,$C$5:$C$716)</f>
        <v>82</v>
      </c>
      <c r="F622" s="12" t="n">
        <f aca="false">COUNTIFS($A$5:$A$716,A622,$C$5:$C$716,"&gt;"&amp;C622)+1</f>
        <v>2</v>
      </c>
      <c r="G622" s="9" t="n">
        <f aca="false">C622/SUMIFS($C$5:$C$716,$A$5:$A$716,A622)</f>
        <v>0.146330481764971</v>
      </c>
    </row>
    <row r="623" customFormat="false" ht="15" hidden="false" customHeight="false" outlineLevel="0" collapsed="false">
      <c r="A623" s="7" t="s">
        <v>45</v>
      </c>
      <c r="B623" s="7" t="s">
        <v>701</v>
      </c>
      <c r="C623" s="13" t="n">
        <v>490</v>
      </c>
      <c r="D623" s="8"/>
      <c r="E623" s="12" t="n">
        <f aca="false">RANK(C623,$C$5:$C$716)</f>
        <v>108</v>
      </c>
      <c r="F623" s="12" t="n">
        <f aca="false">COUNTIFS($A$5:$A$716,A623,$C$5:$C$716,"&gt;"&amp;C623)+1</f>
        <v>3</v>
      </c>
      <c r="G623" s="9" t="n">
        <f aca="false">C623/SUMIFS($C$5:$C$716,$A$5:$A$716,A623)</f>
        <v>0.110310670868978</v>
      </c>
    </row>
    <row r="624" customFormat="false" ht="15" hidden="false" customHeight="false" outlineLevel="0" collapsed="false">
      <c r="A624" s="7" t="s">
        <v>45</v>
      </c>
      <c r="B624" s="7" t="s">
        <v>702</v>
      </c>
      <c r="C624" s="13" t="n">
        <v>213</v>
      </c>
      <c r="D624" s="8"/>
      <c r="E624" s="12" t="n">
        <f aca="false">RANK(C624,$C$5:$C$716)</f>
        <v>211</v>
      </c>
      <c r="F624" s="12" t="n">
        <f aca="false">COUNTIFS($A$5:$A$716,A624,$C$5:$C$716,"&gt;"&amp;C624)+1</f>
        <v>4</v>
      </c>
      <c r="G624" s="9" t="n">
        <f aca="false">C624/SUMIFS($C$5:$C$716,$A$5:$A$716,A624)</f>
        <v>0.0479513732552904</v>
      </c>
    </row>
    <row r="625" customFormat="false" ht="15" hidden="false" customHeight="false" outlineLevel="0" collapsed="false">
      <c r="A625" s="7" t="s">
        <v>45</v>
      </c>
      <c r="B625" s="7" t="s">
        <v>703</v>
      </c>
      <c r="C625" s="13" t="n">
        <v>138</v>
      </c>
      <c r="D625" s="8"/>
      <c r="E625" s="12" t="n">
        <f aca="false">RANK(C625,$C$5:$C$716)</f>
        <v>308</v>
      </c>
      <c r="F625" s="12" t="n">
        <f aca="false">COUNTIFS($A$5:$A$716,A625,$C$5:$C$716,"&gt;"&amp;C625)+1</f>
        <v>5</v>
      </c>
      <c r="G625" s="9" t="n">
        <f aca="false">C625/SUMIFS($C$5:$C$716,$A$5:$A$716,A625)</f>
        <v>0.0310670868977938</v>
      </c>
    </row>
    <row r="626" customFormat="false" ht="15" hidden="false" customHeight="false" outlineLevel="0" collapsed="false">
      <c r="A626" s="7" t="s">
        <v>45</v>
      </c>
      <c r="B626" s="7" t="s">
        <v>704</v>
      </c>
      <c r="C626" s="13" t="n">
        <v>134</v>
      </c>
      <c r="D626" s="8"/>
      <c r="E626" s="12" t="n">
        <f aca="false">RANK(C626,$C$5:$C$716)</f>
        <v>315</v>
      </c>
      <c r="F626" s="12" t="n">
        <f aca="false">COUNTIFS($A$5:$A$716,A626,$C$5:$C$716,"&gt;"&amp;C626)+1</f>
        <v>6</v>
      </c>
      <c r="G626" s="9" t="n">
        <f aca="false">C626/SUMIFS($C$5:$C$716,$A$5:$A$716,A626)</f>
        <v>0.030166591625394</v>
      </c>
    </row>
    <row r="627" customFormat="false" ht="15" hidden="false" customHeight="false" outlineLevel="0" collapsed="false">
      <c r="A627" s="7" t="s">
        <v>45</v>
      </c>
      <c r="B627" s="7" t="s">
        <v>705</v>
      </c>
      <c r="C627" s="13" t="n">
        <v>120</v>
      </c>
      <c r="D627" s="8"/>
      <c r="E627" s="12" t="n">
        <f aca="false">RANK(C627,$C$5:$C$716)</f>
        <v>347</v>
      </c>
      <c r="F627" s="12" t="n">
        <f aca="false">COUNTIFS($A$5:$A$716,A627,$C$5:$C$716,"&gt;"&amp;C627)+1</f>
        <v>7</v>
      </c>
      <c r="G627" s="9" t="n">
        <f aca="false">C627/SUMIFS($C$5:$C$716,$A$5:$A$716,A627)</f>
        <v>0.0270148581719946</v>
      </c>
    </row>
    <row r="628" customFormat="false" ht="15" hidden="false" customHeight="false" outlineLevel="0" collapsed="false">
      <c r="A628" s="7" t="s">
        <v>45</v>
      </c>
      <c r="B628" s="7" t="s">
        <v>706</v>
      </c>
      <c r="C628" s="13" t="n">
        <v>72</v>
      </c>
      <c r="D628" s="8"/>
      <c r="E628" s="12" t="n">
        <f aca="false">RANK(C628,$C$5:$C$716)</f>
        <v>480</v>
      </c>
      <c r="F628" s="12" t="n">
        <f aca="false">COUNTIFS($A$5:$A$716,A628,$C$5:$C$716,"&gt;"&amp;C628)+1</f>
        <v>8</v>
      </c>
      <c r="G628" s="9" t="n">
        <f aca="false">C628/SUMIFS($C$5:$C$716,$A$5:$A$716,A628)</f>
        <v>0.0162089149031968</v>
      </c>
    </row>
    <row r="629" customFormat="false" ht="15" hidden="false" customHeight="false" outlineLevel="0" collapsed="false">
      <c r="A629" s="7" t="s">
        <v>45</v>
      </c>
      <c r="B629" s="7" t="s">
        <v>707</v>
      </c>
      <c r="C629" s="13" t="n">
        <v>61</v>
      </c>
      <c r="D629" s="8"/>
      <c r="E629" s="12" t="n">
        <f aca="false">RANK(C629,$C$5:$C$716)</f>
        <v>520</v>
      </c>
      <c r="F629" s="12" t="n">
        <f aca="false">COUNTIFS($A$5:$A$716,A629,$C$5:$C$716,"&gt;"&amp;C629)+1</f>
        <v>9</v>
      </c>
      <c r="G629" s="9" t="n">
        <f aca="false">C629/SUMIFS($C$5:$C$716,$A$5:$A$716,A629)</f>
        <v>0.0137325529040973</v>
      </c>
    </row>
    <row r="630" customFormat="false" ht="15" hidden="false" customHeight="false" outlineLevel="0" collapsed="false">
      <c r="A630" s="7" t="s">
        <v>45</v>
      </c>
      <c r="B630" s="7" t="s">
        <v>708</v>
      </c>
      <c r="C630" s="13" t="n">
        <v>60</v>
      </c>
      <c r="D630" s="8"/>
      <c r="E630" s="12" t="n">
        <f aca="false">RANK(C630,$C$5:$C$716)</f>
        <v>521</v>
      </c>
      <c r="F630" s="12" t="n">
        <f aca="false">COUNTIFS($A$5:$A$716,A630,$C$5:$C$716,"&gt;"&amp;C630)+1</f>
        <v>10</v>
      </c>
      <c r="G630" s="9" t="n">
        <f aca="false">C630/SUMIFS($C$5:$C$716,$A$5:$A$716,A630)</f>
        <v>0.0135074290859973</v>
      </c>
    </row>
    <row r="631" customFormat="false" ht="15" hidden="false" customHeight="false" outlineLevel="0" collapsed="false">
      <c r="A631" s="7" t="s">
        <v>45</v>
      </c>
      <c r="B631" s="7" t="s">
        <v>709</v>
      </c>
      <c r="C631" s="13" t="n">
        <v>57</v>
      </c>
      <c r="D631" s="8"/>
      <c r="E631" s="12" t="n">
        <f aca="false">RANK(C631,$C$5:$C$716)</f>
        <v>532</v>
      </c>
      <c r="F631" s="12" t="n">
        <f aca="false">COUNTIFS($A$5:$A$716,A631,$C$5:$C$716,"&gt;"&amp;C631)+1</f>
        <v>11</v>
      </c>
      <c r="G631" s="9" t="n">
        <f aca="false">C631/SUMIFS($C$5:$C$716,$A$5:$A$716,A631)</f>
        <v>0.0128320576316974</v>
      </c>
    </row>
    <row r="632" customFormat="false" ht="15" hidden="false" customHeight="false" outlineLevel="0" collapsed="false">
      <c r="A632" s="7" t="s">
        <v>45</v>
      </c>
      <c r="B632" s="7" t="s">
        <v>710</v>
      </c>
      <c r="C632" s="13" t="n">
        <v>50</v>
      </c>
      <c r="D632" s="8"/>
      <c r="E632" s="12" t="n">
        <f aca="false">RANK(C632,$C$5:$C$716)</f>
        <v>555</v>
      </c>
      <c r="F632" s="12" t="n">
        <f aca="false">COUNTIFS($A$5:$A$716,A632,$C$5:$C$716,"&gt;"&amp;C632)+1</f>
        <v>12</v>
      </c>
      <c r="G632" s="9" t="n">
        <f aca="false">C632/SUMIFS($C$5:$C$716,$A$5:$A$716,A632)</f>
        <v>0.0112561909049978</v>
      </c>
    </row>
    <row r="633" customFormat="false" ht="15" hidden="false" customHeight="false" outlineLevel="0" collapsed="false">
      <c r="A633" s="7" t="s">
        <v>45</v>
      </c>
      <c r="B633" s="7" t="s">
        <v>711</v>
      </c>
      <c r="C633" s="13" t="n">
        <v>47</v>
      </c>
      <c r="D633" s="8"/>
      <c r="E633" s="12" t="n">
        <f aca="false">RANK(C633,$C$5:$C$716)</f>
        <v>575</v>
      </c>
      <c r="F633" s="12" t="n">
        <f aca="false">COUNTIFS($A$5:$A$716,A633,$C$5:$C$716,"&gt;"&amp;C633)+1</f>
        <v>13</v>
      </c>
      <c r="G633" s="9" t="n">
        <f aca="false">C633/SUMIFS($C$5:$C$716,$A$5:$A$716,A633)</f>
        <v>0.0105808194506979</v>
      </c>
    </row>
    <row r="634" customFormat="false" ht="15" hidden="false" customHeight="false" outlineLevel="0" collapsed="false">
      <c r="A634" s="7" t="s">
        <v>45</v>
      </c>
      <c r="B634" s="7" t="s">
        <v>712</v>
      </c>
      <c r="C634" s="13" t="n">
        <v>38</v>
      </c>
      <c r="D634" s="8"/>
      <c r="E634" s="12" t="n">
        <f aca="false">RANK(C634,$C$5:$C$716)</f>
        <v>629</v>
      </c>
      <c r="F634" s="12" t="n">
        <f aca="false">COUNTIFS($A$5:$A$716,A634,$C$5:$C$716,"&gt;"&amp;C634)+1</f>
        <v>14</v>
      </c>
      <c r="G634" s="9" t="n">
        <f aca="false">C634/SUMIFS($C$5:$C$716,$A$5:$A$716,A634)</f>
        <v>0.00855470508779829</v>
      </c>
    </row>
    <row r="635" customFormat="false" ht="15" hidden="false" customHeight="false" outlineLevel="0" collapsed="false">
      <c r="A635" s="7" t="s">
        <v>45</v>
      </c>
      <c r="B635" s="7" t="s">
        <v>713</v>
      </c>
      <c r="C635" s="13" t="n">
        <v>35</v>
      </c>
      <c r="D635" s="8"/>
      <c r="E635" s="12" t="n">
        <f aca="false">RANK(C635,$C$5:$C$716)</f>
        <v>647</v>
      </c>
      <c r="F635" s="12" t="n">
        <f aca="false">COUNTIFS($A$5:$A$716,A635,$C$5:$C$716,"&gt;"&amp;C635)+1</f>
        <v>15</v>
      </c>
      <c r="G635" s="9" t="n">
        <f aca="false">C635/SUMIFS($C$5:$C$716,$A$5:$A$716,A635)</f>
        <v>0.00787933363349842</v>
      </c>
    </row>
    <row r="636" customFormat="false" ht="15" hidden="false" customHeight="false" outlineLevel="0" collapsed="false">
      <c r="A636" s="7" t="s">
        <v>45</v>
      </c>
      <c r="B636" s="7" t="s">
        <v>714</v>
      </c>
      <c r="C636" s="13" t="n">
        <v>31</v>
      </c>
      <c r="D636" s="8"/>
      <c r="E636" s="12" t="n">
        <f aca="false">RANK(C636,$C$5:$C$716)</f>
        <v>673</v>
      </c>
      <c r="F636" s="12" t="n">
        <f aca="false">COUNTIFS($A$5:$A$716,A636,$C$5:$C$716,"&gt;"&amp;C636)+1</f>
        <v>16</v>
      </c>
      <c r="G636" s="9" t="n">
        <f aca="false">C636/SUMIFS($C$5:$C$716,$A$5:$A$716,A636)</f>
        <v>0.0069788383610986</v>
      </c>
    </row>
    <row r="637" customFormat="false" ht="15" hidden="false" customHeight="false" outlineLevel="0" collapsed="false">
      <c r="A637" s="7" t="s">
        <v>48</v>
      </c>
      <c r="B637" s="7" t="s">
        <v>715</v>
      </c>
      <c r="C637" s="13" t="n">
        <v>2091</v>
      </c>
      <c r="D637" s="8"/>
      <c r="E637" s="12" t="n">
        <f aca="false">RANK(C637,$C$5:$C$716)</f>
        <v>30</v>
      </c>
      <c r="F637" s="12" t="n">
        <f aca="false">COUNTIFS($A$5:$A$716,A637,$C$5:$C$716,"&gt;"&amp;C637)+1</f>
        <v>1</v>
      </c>
      <c r="G637" s="9" t="n">
        <f aca="false">C637/SUMIFS($C$5:$C$716,$A$5:$A$716,A637)</f>
        <v>0.49491124260355</v>
      </c>
    </row>
    <row r="638" customFormat="false" ht="15" hidden="false" customHeight="false" outlineLevel="0" collapsed="false">
      <c r="A638" s="7" t="s">
        <v>48</v>
      </c>
      <c r="B638" s="7" t="s">
        <v>716</v>
      </c>
      <c r="C638" s="13" t="n">
        <v>576</v>
      </c>
      <c r="D638" s="8"/>
      <c r="E638" s="12" t="n">
        <f aca="false">RANK(C638,$C$5:$C$716)</f>
        <v>93</v>
      </c>
      <c r="F638" s="12" t="n">
        <f aca="false">COUNTIFS($A$5:$A$716,A638,$C$5:$C$716,"&gt;"&amp;C638)+1</f>
        <v>2</v>
      </c>
      <c r="G638" s="9" t="n">
        <f aca="false">C638/SUMIFS($C$5:$C$716,$A$5:$A$716,A638)</f>
        <v>0.136331360946746</v>
      </c>
    </row>
    <row r="639" customFormat="false" ht="15" hidden="false" customHeight="false" outlineLevel="0" collapsed="false">
      <c r="A639" s="7" t="s">
        <v>48</v>
      </c>
      <c r="B639" s="7" t="s">
        <v>717</v>
      </c>
      <c r="C639" s="13" t="n">
        <v>272</v>
      </c>
      <c r="D639" s="8"/>
      <c r="E639" s="12" t="n">
        <f aca="false">RANK(C639,$C$5:$C$716)</f>
        <v>160</v>
      </c>
      <c r="F639" s="12" t="n">
        <f aca="false">COUNTIFS($A$5:$A$716,A639,$C$5:$C$716,"&gt;"&amp;C639)+1</f>
        <v>3</v>
      </c>
      <c r="G639" s="9" t="n">
        <f aca="false">C639/SUMIFS($C$5:$C$716,$A$5:$A$716,A639)</f>
        <v>0.0643786982248521</v>
      </c>
    </row>
    <row r="640" customFormat="false" ht="15" hidden="false" customHeight="false" outlineLevel="0" collapsed="false">
      <c r="A640" s="7" t="s">
        <v>48</v>
      </c>
      <c r="B640" s="7" t="s">
        <v>718</v>
      </c>
      <c r="C640" s="13" t="n">
        <v>250</v>
      </c>
      <c r="D640" s="8"/>
      <c r="E640" s="12" t="n">
        <f aca="false">RANK(C640,$C$5:$C$716)</f>
        <v>176</v>
      </c>
      <c r="F640" s="12" t="n">
        <f aca="false">COUNTIFS($A$5:$A$716,A640,$C$5:$C$716,"&gt;"&amp;C640)+1</f>
        <v>4</v>
      </c>
      <c r="G640" s="9" t="n">
        <f aca="false">C640/SUMIFS($C$5:$C$716,$A$5:$A$716,A640)</f>
        <v>0.0591715976331361</v>
      </c>
    </row>
    <row r="641" customFormat="false" ht="15" hidden="false" customHeight="false" outlineLevel="0" collapsed="false">
      <c r="A641" s="7" t="s">
        <v>48</v>
      </c>
      <c r="B641" s="7" t="s">
        <v>719</v>
      </c>
      <c r="C641" s="13" t="n">
        <v>209</v>
      </c>
      <c r="D641" s="8"/>
      <c r="E641" s="12" t="n">
        <f aca="false">RANK(C641,$C$5:$C$716)</f>
        <v>217</v>
      </c>
      <c r="F641" s="12" t="n">
        <f aca="false">COUNTIFS($A$5:$A$716,A641,$C$5:$C$716,"&gt;"&amp;C641)+1</f>
        <v>5</v>
      </c>
      <c r="G641" s="9" t="n">
        <f aca="false">C641/SUMIFS($C$5:$C$716,$A$5:$A$716,A641)</f>
        <v>0.0494674556213018</v>
      </c>
    </row>
    <row r="642" customFormat="false" ht="15" hidden="false" customHeight="false" outlineLevel="0" collapsed="false">
      <c r="A642" s="7" t="s">
        <v>48</v>
      </c>
      <c r="B642" s="7" t="s">
        <v>720</v>
      </c>
      <c r="C642" s="13" t="n">
        <v>176</v>
      </c>
      <c r="D642" s="8"/>
      <c r="E642" s="12" t="n">
        <f aca="false">RANK(C642,$C$5:$C$716)</f>
        <v>251</v>
      </c>
      <c r="F642" s="12" t="n">
        <f aca="false">COUNTIFS($A$5:$A$716,A642,$C$5:$C$716,"&gt;"&amp;C642)+1</f>
        <v>6</v>
      </c>
      <c r="G642" s="9" t="n">
        <f aca="false">C642/SUMIFS($C$5:$C$716,$A$5:$A$716,A642)</f>
        <v>0.0416568047337278</v>
      </c>
    </row>
    <row r="643" customFormat="false" ht="15" hidden="false" customHeight="false" outlineLevel="0" collapsed="false">
      <c r="A643" s="7" t="s">
        <v>48</v>
      </c>
      <c r="B643" s="7" t="s">
        <v>721</v>
      </c>
      <c r="C643" s="13" t="n">
        <v>115</v>
      </c>
      <c r="D643" s="8"/>
      <c r="E643" s="12" t="n">
        <f aca="false">RANK(C643,$C$5:$C$716)</f>
        <v>359</v>
      </c>
      <c r="F643" s="12" t="n">
        <f aca="false">COUNTIFS($A$5:$A$716,A643,$C$5:$C$716,"&gt;"&amp;C643)+1</f>
        <v>7</v>
      </c>
      <c r="G643" s="9" t="n">
        <f aca="false">C643/SUMIFS($C$5:$C$716,$A$5:$A$716,A643)</f>
        <v>0.0272189349112426</v>
      </c>
    </row>
    <row r="644" customFormat="false" ht="15" hidden="false" customHeight="false" outlineLevel="0" collapsed="false">
      <c r="A644" s="7" t="s">
        <v>48</v>
      </c>
      <c r="B644" s="7" t="s">
        <v>722</v>
      </c>
      <c r="C644" s="13" t="n">
        <v>96</v>
      </c>
      <c r="D644" s="8"/>
      <c r="E644" s="12" t="n">
        <f aca="false">RANK(C644,$C$5:$C$716)</f>
        <v>405</v>
      </c>
      <c r="F644" s="12" t="n">
        <f aca="false">COUNTIFS($A$5:$A$716,A644,$C$5:$C$716,"&gt;"&amp;C644)+1</f>
        <v>8</v>
      </c>
      <c r="G644" s="9" t="n">
        <f aca="false">C644/SUMIFS($C$5:$C$716,$A$5:$A$716,A644)</f>
        <v>0.0227218934911243</v>
      </c>
    </row>
    <row r="645" customFormat="false" ht="15" hidden="false" customHeight="false" outlineLevel="0" collapsed="false">
      <c r="A645" s="7" t="s">
        <v>48</v>
      </c>
      <c r="B645" s="7" t="s">
        <v>723</v>
      </c>
      <c r="C645" s="13" t="n">
        <v>93</v>
      </c>
      <c r="D645" s="8"/>
      <c r="E645" s="12" t="n">
        <f aca="false">RANK(C645,$C$5:$C$716)</f>
        <v>415</v>
      </c>
      <c r="F645" s="12" t="n">
        <f aca="false">COUNTIFS($A$5:$A$716,A645,$C$5:$C$716,"&gt;"&amp;C645)+1</f>
        <v>9</v>
      </c>
      <c r="G645" s="9" t="n">
        <f aca="false">C645/SUMIFS($C$5:$C$716,$A$5:$A$716,A645)</f>
        <v>0.0220118343195266</v>
      </c>
    </row>
    <row r="646" customFormat="false" ht="15" hidden="false" customHeight="false" outlineLevel="0" collapsed="false">
      <c r="A646" s="7" t="s">
        <v>48</v>
      </c>
      <c r="B646" s="7" t="s">
        <v>724</v>
      </c>
      <c r="C646" s="13" t="n">
        <v>88</v>
      </c>
      <c r="D646" s="8"/>
      <c r="E646" s="12" t="n">
        <f aca="false">RANK(C646,$C$5:$C$716)</f>
        <v>422</v>
      </c>
      <c r="F646" s="12" t="n">
        <f aca="false">COUNTIFS($A$5:$A$716,A646,$C$5:$C$716,"&gt;"&amp;C646)+1</f>
        <v>10</v>
      </c>
      <c r="G646" s="9" t="n">
        <f aca="false">C646/SUMIFS($C$5:$C$716,$A$5:$A$716,A646)</f>
        <v>0.0208284023668639</v>
      </c>
    </row>
    <row r="647" customFormat="false" ht="15" hidden="false" customHeight="false" outlineLevel="0" collapsed="false">
      <c r="A647" s="7" t="s">
        <v>48</v>
      </c>
      <c r="B647" s="7" t="s">
        <v>725</v>
      </c>
      <c r="C647" s="13" t="n">
        <v>83</v>
      </c>
      <c r="D647" s="8"/>
      <c r="E647" s="12" t="n">
        <f aca="false">RANK(C647,$C$5:$C$716)</f>
        <v>442</v>
      </c>
      <c r="F647" s="12" t="n">
        <f aca="false">COUNTIFS($A$5:$A$716,A647,$C$5:$C$716,"&gt;"&amp;C647)+1</f>
        <v>11</v>
      </c>
      <c r="G647" s="9" t="n">
        <f aca="false">C647/SUMIFS($C$5:$C$716,$A$5:$A$716,A647)</f>
        <v>0.0196449704142012</v>
      </c>
    </row>
    <row r="648" customFormat="false" ht="15" hidden="false" customHeight="false" outlineLevel="0" collapsed="false">
      <c r="A648" s="7" t="s">
        <v>48</v>
      </c>
      <c r="B648" s="7" t="s">
        <v>726</v>
      </c>
      <c r="C648" s="13" t="n">
        <v>70</v>
      </c>
      <c r="D648" s="8"/>
      <c r="E648" s="12" t="n">
        <f aca="false">RANK(C648,$C$5:$C$716)</f>
        <v>487</v>
      </c>
      <c r="F648" s="12" t="n">
        <f aca="false">COUNTIFS($A$5:$A$716,A648,$C$5:$C$716,"&gt;"&amp;C648)+1</f>
        <v>12</v>
      </c>
      <c r="G648" s="9" t="n">
        <f aca="false">C648/SUMIFS($C$5:$C$716,$A$5:$A$716,A648)</f>
        <v>0.0165680473372781</v>
      </c>
    </row>
    <row r="649" customFormat="false" ht="15" hidden="false" customHeight="false" outlineLevel="0" collapsed="false">
      <c r="A649" s="7" t="s">
        <v>48</v>
      </c>
      <c r="B649" s="7" t="s">
        <v>727</v>
      </c>
      <c r="C649" s="13" t="n">
        <v>40</v>
      </c>
      <c r="D649" s="8"/>
      <c r="E649" s="12" t="n">
        <f aca="false">RANK(C649,$C$5:$C$716)</f>
        <v>615</v>
      </c>
      <c r="F649" s="12" t="n">
        <f aca="false">COUNTIFS($A$5:$A$716,A649,$C$5:$C$716,"&gt;"&amp;C649)+1</f>
        <v>13</v>
      </c>
      <c r="G649" s="9" t="n">
        <f aca="false">C649/SUMIFS($C$5:$C$716,$A$5:$A$716,A649)</f>
        <v>0.00946745562130178</v>
      </c>
    </row>
    <row r="650" customFormat="false" ht="15" hidden="false" customHeight="false" outlineLevel="0" collapsed="false">
      <c r="A650" s="7" t="s">
        <v>48</v>
      </c>
      <c r="B650" s="7" t="s">
        <v>728</v>
      </c>
      <c r="C650" s="13" t="n">
        <v>36</v>
      </c>
      <c r="D650" s="8"/>
      <c r="E650" s="12" t="n">
        <f aca="false">RANK(C650,$C$5:$C$716)</f>
        <v>639</v>
      </c>
      <c r="F650" s="12" t="n">
        <f aca="false">COUNTIFS($A$5:$A$716,A650,$C$5:$C$716,"&gt;"&amp;C650)+1</f>
        <v>14</v>
      </c>
      <c r="G650" s="9" t="n">
        <f aca="false">C650/SUMIFS($C$5:$C$716,$A$5:$A$716,A650)</f>
        <v>0.0085207100591716</v>
      </c>
    </row>
    <row r="651" customFormat="false" ht="15" hidden="false" customHeight="false" outlineLevel="0" collapsed="false">
      <c r="A651" s="7" t="s">
        <v>48</v>
      </c>
      <c r="B651" s="7" t="s">
        <v>729</v>
      </c>
      <c r="C651" s="13" t="n">
        <v>30</v>
      </c>
      <c r="D651" s="8"/>
      <c r="E651" s="12" t="n">
        <f aca="false">RANK(C651,$C$5:$C$716)</f>
        <v>683</v>
      </c>
      <c r="F651" s="12" t="n">
        <f aca="false">COUNTIFS($A$5:$A$716,A651,$C$5:$C$716,"&gt;"&amp;C651)+1</f>
        <v>15</v>
      </c>
      <c r="G651" s="9" t="n">
        <f aca="false">C651/SUMIFS($C$5:$C$716,$A$5:$A$716,A651)</f>
        <v>0.00710059171597633</v>
      </c>
    </row>
    <row r="652" customFormat="false" ht="15" hidden="false" customHeight="false" outlineLevel="0" collapsed="false">
      <c r="A652" s="7" t="s">
        <v>49</v>
      </c>
      <c r="B652" s="7" t="s">
        <v>730</v>
      </c>
      <c r="C652" s="13" t="n">
        <v>1187</v>
      </c>
      <c r="D652" s="8"/>
      <c r="E652" s="12" t="n">
        <f aca="false">RANK(C652,$C$5:$C$716)</f>
        <v>46</v>
      </c>
      <c r="F652" s="12" t="n">
        <f aca="false">COUNTIFS($A$5:$A$716,A652,$C$5:$C$716,"&gt;"&amp;C652)+1</f>
        <v>1</v>
      </c>
      <c r="G652" s="9" t="n">
        <f aca="false">C652/SUMIFS($C$5:$C$716,$A$5:$A$716,A652)</f>
        <v>0.319257665411512</v>
      </c>
    </row>
    <row r="653" customFormat="false" ht="15" hidden="false" customHeight="false" outlineLevel="0" collapsed="false">
      <c r="A653" s="7" t="s">
        <v>49</v>
      </c>
      <c r="B653" s="7" t="s">
        <v>731</v>
      </c>
      <c r="C653" s="13" t="n">
        <v>975</v>
      </c>
      <c r="D653" s="8"/>
      <c r="E653" s="12" t="n">
        <f aca="false">RANK(C653,$C$5:$C$716)</f>
        <v>55</v>
      </c>
      <c r="F653" s="12" t="n">
        <f aca="false">COUNTIFS($A$5:$A$716,A653,$C$5:$C$716,"&gt;"&amp;C653)+1</f>
        <v>2</v>
      </c>
      <c r="G653" s="9" t="n">
        <f aca="false">C653/SUMIFS($C$5:$C$716,$A$5:$A$716,A653)</f>
        <v>0.262237762237762</v>
      </c>
    </row>
    <row r="654" customFormat="false" ht="15" hidden="false" customHeight="false" outlineLevel="0" collapsed="false">
      <c r="A654" s="7" t="s">
        <v>49</v>
      </c>
      <c r="B654" s="7" t="s">
        <v>732</v>
      </c>
      <c r="C654" s="13" t="n">
        <v>230</v>
      </c>
      <c r="D654" s="8"/>
      <c r="E654" s="12" t="n">
        <f aca="false">RANK(C654,$C$5:$C$716)</f>
        <v>193</v>
      </c>
      <c r="F654" s="12" t="n">
        <f aca="false">COUNTIFS($A$5:$A$716,A654,$C$5:$C$716,"&gt;"&amp;C654)+1</f>
        <v>3</v>
      </c>
      <c r="G654" s="9" t="n">
        <f aca="false">C654/SUMIFS($C$5:$C$716,$A$5:$A$716,A654)</f>
        <v>0.0618612157073696</v>
      </c>
    </row>
    <row r="655" customFormat="false" ht="15" hidden="false" customHeight="false" outlineLevel="0" collapsed="false">
      <c r="A655" s="7" t="s">
        <v>49</v>
      </c>
      <c r="B655" s="7" t="s">
        <v>733</v>
      </c>
      <c r="C655" s="13" t="n">
        <v>213</v>
      </c>
      <c r="D655" s="8"/>
      <c r="E655" s="12" t="n">
        <f aca="false">RANK(C655,$C$5:$C$716)</f>
        <v>211</v>
      </c>
      <c r="F655" s="12" t="n">
        <f aca="false">COUNTIFS($A$5:$A$716,A655,$C$5:$C$716,"&gt;"&amp;C655)+1</f>
        <v>4</v>
      </c>
      <c r="G655" s="9" t="n">
        <f aca="false">C655/SUMIFS($C$5:$C$716,$A$5:$A$716,A655)</f>
        <v>0.0572888649811727</v>
      </c>
    </row>
    <row r="656" customFormat="false" ht="15" hidden="false" customHeight="false" outlineLevel="0" collapsed="false">
      <c r="A656" s="7" t="s">
        <v>49</v>
      </c>
      <c r="B656" s="7" t="s">
        <v>734</v>
      </c>
      <c r="C656" s="13" t="n">
        <v>183</v>
      </c>
      <c r="D656" s="8"/>
      <c r="E656" s="12" t="n">
        <f aca="false">RANK(C656,$C$5:$C$716)</f>
        <v>241</v>
      </c>
      <c r="F656" s="12" t="n">
        <f aca="false">COUNTIFS($A$5:$A$716,A656,$C$5:$C$716,"&gt;"&amp;C656)+1</f>
        <v>5</v>
      </c>
      <c r="G656" s="9" t="n">
        <f aca="false">C656/SUMIFS($C$5:$C$716,$A$5:$A$716,A656)</f>
        <v>0.0492200107584723</v>
      </c>
    </row>
    <row r="657" customFormat="false" ht="15" hidden="false" customHeight="false" outlineLevel="0" collapsed="false">
      <c r="A657" s="7" t="s">
        <v>49</v>
      </c>
      <c r="B657" s="7" t="s">
        <v>735</v>
      </c>
      <c r="C657" s="13" t="n">
        <v>133</v>
      </c>
      <c r="D657" s="8"/>
      <c r="E657" s="12" t="n">
        <f aca="false">RANK(C657,$C$5:$C$716)</f>
        <v>317</v>
      </c>
      <c r="F657" s="12" t="n">
        <f aca="false">COUNTIFS($A$5:$A$716,A657,$C$5:$C$716,"&gt;"&amp;C657)+1</f>
        <v>6</v>
      </c>
      <c r="G657" s="9" t="n">
        <f aca="false">C657/SUMIFS($C$5:$C$716,$A$5:$A$716,A657)</f>
        <v>0.035771920387305</v>
      </c>
    </row>
    <row r="658" customFormat="false" ht="15" hidden="false" customHeight="false" outlineLevel="0" collapsed="false">
      <c r="A658" s="7" t="s">
        <v>49</v>
      </c>
      <c r="B658" s="7" t="s">
        <v>736</v>
      </c>
      <c r="C658" s="13" t="n">
        <v>132</v>
      </c>
      <c r="D658" s="8"/>
      <c r="E658" s="12" t="n">
        <f aca="false">RANK(C658,$C$5:$C$716)</f>
        <v>321</v>
      </c>
      <c r="F658" s="12" t="n">
        <f aca="false">COUNTIFS($A$5:$A$716,A658,$C$5:$C$716,"&gt;"&amp;C658)+1</f>
        <v>7</v>
      </c>
      <c r="G658" s="9" t="n">
        <f aca="false">C658/SUMIFS($C$5:$C$716,$A$5:$A$716,A658)</f>
        <v>0.0355029585798817</v>
      </c>
    </row>
    <row r="659" customFormat="false" ht="15" hidden="false" customHeight="false" outlineLevel="0" collapsed="false">
      <c r="A659" s="7" t="s">
        <v>49</v>
      </c>
      <c r="B659" s="7" t="s">
        <v>737</v>
      </c>
      <c r="C659" s="13" t="n">
        <v>83</v>
      </c>
      <c r="D659" s="8"/>
      <c r="E659" s="12" t="n">
        <f aca="false">RANK(C659,$C$5:$C$716)</f>
        <v>442</v>
      </c>
      <c r="F659" s="12" t="n">
        <f aca="false">COUNTIFS($A$5:$A$716,A659,$C$5:$C$716,"&gt;"&amp;C659)+1</f>
        <v>8</v>
      </c>
      <c r="G659" s="9" t="n">
        <f aca="false">C659/SUMIFS($C$5:$C$716,$A$5:$A$716,A659)</f>
        <v>0.0223238300161377</v>
      </c>
    </row>
    <row r="660" customFormat="false" ht="15" hidden="false" customHeight="false" outlineLevel="0" collapsed="false">
      <c r="A660" s="7" t="s">
        <v>49</v>
      </c>
      <c r="B660" s="7" t="s">
        <v>738</v>
      </c>
      <c r="C660" s="13" t="n">
        <v>80</v>
      </c>
      <c r="D660" s="8"/>
      <c r="E660" s="12" t="n">
        <f aca="false">RANK(C660,$C$5:$C$716)</f>
        <v>452</v>
      </c>
      <c r="F660" s="12" t="n">
        <f aca="false">COUNTIFS($A$5:$A$716,A660,$C$5:$C$716,"&gt;"&amp;C660)+1</f>
        <v>9</v>
      </c>
      <c r="G660" s="9" t="n">
        <f aca="false">C660/SUMIFS($C$5:$C$716,$A$5:$A$716,A660)</f>
        <v>0.0215169445938677</v>
      </c>
    </row>
    <row r="661" customFormat="false" ht="15" hidden="false" customHeight="false" outlineLevel="0" collapsed="false">
      <c r="A661" s="7" t="s">
        <v>49</v>
      </c>
      <c r="B661" s="7" t="s">
        <v>739</v>
      </c>
      <c r="C661" s="13" t="n">
        <v>75</v>
      </c>
      <c r="D661" s="8"/>
      <c r="E661" s="12" t="n">
        <f aca="false">RANK(C661,$C$5:$C$716)</f>
        <v>471</v>
      </c>
      <c r="F661" s="12" t="n">
        <f aca="false">COUNTIFS($A$5:$A$716,A661,$C$5:$C$716,"&gt;"&amp;C661)+1</f>
        <v>10</v>
      </c>
      <c r="G661" s="9" t="n">
        <f aca="false">C661/SUMIFS($C$5:$C$716,$A$5:$A$716,A661)</f>
        <v>0.0201721355567509</v>
      </c>
    </row>
    <row r="662" customFormat="false" ht="15" hidden="false" customHeight="false" outlineLevel="0" collapsed="false">
      <c r="A662" s="7" t="s">
        <v>49</v>
      </c>
      <c r="B662" s="7" t="s">
        <v>740</v>
      </c>
      <c r="C662" s="13" t="n">
        <v>67</v>
      </c>
      <c r="D662" s="8"/>
      <c r="E662" s="12" t="n">
        <f aca="false">RANK(C662,$C$5:$C$716)</f>
        <v>496</v>
      </c>
      <c r="F662" s="12" t="n">
        <f aca="false">COUNTIFS($A$5:$A$716,A662,$C$5:$C$716,"&gt;"&amp;C662)+1</f>
        <v>11</v>
      </c>
      <c r="G662" s="9" t="n">
        <f aca="false">C662/SUMIFS($C$5:$C$716,$A$5:$A$716,A662)</f>
        <v>0.0180204410973642</v>
      </c>
    </row>
    <row r="663" customFormat="false" ht="15" hidden="false" customHeight="false" outlineLevel="0" collapsed="false">
      <c r="A663" s="7" t="s">
        <v>49</v>
      </c>
      <c r="B663" s="7" t="s">
        <v>741</v>
      </c>
      <c r="C663" s="13" t="n">
        <v>64</v>
      </c>
      <c r="D663" s="8"/>
      <c r="E663" s="12" t="n">
        <f aca="false">RANK(C663,$C$5:$C$716)</f>
        <v>508</v>
      </c>
      <c r="F663" s="12" t="n">
        <f aca="false">COUNTIFS($A$5:$A$716,A663,$C$5:$C$716,"&gt;"&amp;C663)+1</f>
        <v>12</v>
      </c>
      <c r="G663" s="9" t="n">
        <f aca="false">C663/SUMIFS($C$5:$C$716,$A$5:$A$716,A663)</f>
        <v>0.0172135556750941</v>
      </c>
    </row>
    <row r="664" customFormat="false" ht="15" hidden="false" customHeight="false" outlineLevel="0" collapsed="false">
      <c r="A664" s="7" t="s">
        <v>49</v>
      </c>
      <c r="B664" s="7" t="s">
        <v>742</v>
      </c>
      <c r="C664" s="13" t="n">
        <v>58</v>
      </c>
      <c r="D664" s="8"/>
      <c r="E664" s="12" t="n">
        <f aca="false">RANK(C664,$C$5:$C$716)</f>
        <v>528</v>
      </c>
      <c r="F664" s="12" t="n">
        <f aca="false">COUNTIFS($A$5:$A$716,A664,$C$5:$C$716,"&gt;"&amp;C664)+1</f>
        <v>13</v>
      </c>
      <c r="G664" s="9" t="n">
        <f aca="false">C664/SUMIFS($C$5:$C$716,$A$5:$A$716,A664)</f>
        <v>0.0155997848305541</v>
      </c>
    </row>
    <row r="665" customFormat="false" ht="15" hidden="false" customHeight="false" outlineLevel="0" collapsed="false">
      <c r="A665" s="7" t="s">
        <v>49</v>
      </c>
      <c r="B665" s="7" t="s">
        <v>743</v>
      </c>
      <c r="C665" s="13" t="n">
        <v>54</v>
      </c>
      <c r="D665" s="8"/>
      <c r="E665" s="12" t="n">
        <f aca="false">RANK(C665,$C$5:$C$716)</f>
        <v>540</v>
      </c>
      <c r="F665" s="12" t="n">
        <f aca="false">COUNTIFS($A$5:$A$716,A665,$C$5:$C$716,"&gt;"&amp;C665)+1</f>
        <v>14</v>
      </c>
      <c r="G665" s="9" t="n">
        <f aca="false">C665/SUMIFS($C$5:$C$716,$A$5:$A$716,A665)</f>
        <v>0.0145239376008607</v>
      </c>
    </row>
    <row r="666" customFormat="false" ht="15" hidden="false" customHeight="false" outlineLevel="0" collapsed="false">
      <c r="A666" s="7" t="s">
        <v>49</v>
      </c>
      <c r="B666" s="7" t="s">
        <v>744</v>
      </c>
      <c r="C666" s="13" t="n">
        <v>44</v>
      </c>
      <c r="D666" s="8"/>
      <c r="E666" s="12" t="n">
        <f aca="false">RANK(C666,$C$5:$C$716)</f>
        <v>593</v>
      </c>
      <c r="F666" s="12" t="n">
        <f aca="false">COUNTIFS($A$5:$A$716,A666,$C$5:$C$716,"&gt;"&amp;C666)+1</f>
        <v>15</v>
      </c>
      <c r="G666" s="9" t="n">
        <f aca="false">C666/SUMIFS($C$5:$C$716,$A$5:$A$716,A666)</f>
        <v>0.0118343195266272</v>
      </c>
    </row>
    <row r="667" customFormat="false" ht="15" hidden="false" customHeight="false" outlineLevel="0" collapsed="false">
      <c r="A667" s="7" t="s">
        <v>49</v>
      </c>
      <c r="B667" s="7" t="s">
        <v>745</v>
      </c>
      <c r="C667" s="13" t="n">
        <v>43</v>
      </c>
      <c r="D667" s="8"/>
      <c r="E667" s="12" t="n">
        <f aca="false">RANK(C667,$C$5:$C$716)</f>
        <v>599</v>
      </c>
      <c r="F667" s="12" t="n">
        <f aca="false">COUNTIFS($A$5:$A$716,A667,$C$5:$C$716,"&gt;"&amp;C667)+1</f>
        <v>16</v>
      </c>
      <c r="G667" s="9" t="n">
        <f aca="false">C667/SUMIFS($C$5:$C$716,$A$5:$A$716,A667)</f>
        <v>0.0115653577192039</v>
      </c>
    </row>
    <row r="668" customFormat="false" ht="15" hidden="false" customHeight="false" outlineLevel="0" collapsed="false">
      <c r="A668" s="7" t="s">
        <v>49</v>
      </c>
      <c r="B668" s="7" t="s">
        <v>746</v>
      </c>
      <c r="C668" s="13" t="n">
        <v>39</v>
      </c>
      <c r="D668" s="8"/>
      <c r="E668" s="12" t="n">
        <f aca="false">RANK(C668,$C$5:$C$716)</f>
        <v>623</v>
      </c>
      <c r="F668" s="12" t="n">
        <f aca="false">COUNTIFS($A$5:$A$716,A668,$C$5:$C$716,"&gt;"&amp;C668)+1</f>
        <v>17</v>
      </c>
      <c r="G668" s="9" t="n">
        <f aca="false">C668/SUMIFS($C$5:$C$716,$A$5:$A$716,A668)</f>
        <v>0.0104895104895105</v>
      </c>
    </row>
    <row r="669" customFormat="false" ht="15" hidden="false" customHeight="false" outlineLevel="0" collapsed="false">
      <c r="A669" s="7" t="s">
        <v>49</v>
      </c>
      <c r="B669" s="7" t="s">
        <v>747</v>
      </c>
      <c r="C669" s="13" t="n">
        <v>32</v>
      </c>
      <c r="D669" s="8"/>
      <c r="E669" s="12" t="n">
        <f aca="false">RANK(C669,$C$5:$C$716)</f>
        <v>668</v>
      </c>
      <c r="F669" s="12" t="n">
        <f aca="false">COUNTIFS($A$5:$A$716,A669,$C$5:$C$716,"&gt;"&amp;C669)+1</f>
        <v>18</v>
      </c>
      <c r="G669" s="9" t="n">
        <f aca="false">C669/SUMIFS($C$5:$C$716,$A$5:$A$716,A669)</f>
        <v>0.00860677783754707</v>
      </c>
    </row>
    <row r="670" customFormat="false" ht="15" hidden="false" customHeight="false" outlineLevel="0" collapsed="false">
      <c r="A670" s="7" t="s">
        <v>49</v>
      </c>
      <c r="B670" s="7" t="s">
        <v>748</v>
      </c>
      <c r="C670" s="13" t="n">
        <v>26</v>
      </c>
      <c r="D670" s="8"/>
      <c r="E670" s="12" t="n">
        <f aca="false">RANK(C670,$C$5:$C$716)</f>
        <v>703</v>
      </c>
      <c r="F670" s="12" t="n">
        <f aca="false">COUNTIFS($A$5:$A$716,A670,$C$5:$C$716,"&gt;"&amp;C670)+1</f>
        <v>19</v>
      </c>
      <c r="G670" s="9" t="n">
        <f aca="false">C670/SUMIFS($C$5:$C$716,$A$5:$A$716,A670)</f>
        <v>0.00699300699300699</v>
      </c>
    </row>
    <row r="671" customFormat="false" ht="15" hidden="false" customHeight="false" outlineLevel="0" collapsed="false">
      <c r="A671" s="7" t="s">
        <v>50</v>
      </c>
      <c r="B671" s="7" t="s">
        <v>749</v>
      </c>
      <c r="C671" s="13" t="n">
        <v>378</v>
      </c>
      <c r="D671" s="8"/>
      <c r="E671" s="12" t="n">
        <f aca="false">RANK(C671,$C$5:$C$716)</f>
        <v>130</v>
      </c>
      <c r="F671" s="12" t="n">
        <f aca="false">COUNTIFS($A$5:$A$716,A671,$C$5:$C$716,"&gt;"&amp;C671)+1</f>
        <v>1</v>
      </c>
      <c r="G671" s="9" t="n">
        <f aca="false">C671/SUMIFS($C$5:$C$716,$A$5:$A$716,A671)</f>
        <v>0.185840707964602</v>
      </c>
    </row>
    <row r="672" customFormat="false" ht="15" hidden="false" customHeight="false" outlineLevel="0" collapsed="false">
      <c r="A672" s="7" t="s">
        <v>50</v>
      </c>
      <c r="B672" s="7" t="s">
        <v>750</v>
      </c>
      <c r="C672" s="13" t="n">
        <v>354</v>
      </c>
      <c r="D672" s="8"/>
      <c r="E672" s="12" t="n">
        <f aca="false">RANK(C672,$C$5:$C$716)</f>
        <v>137</v>
      </c>
      <c r="F672" s="12" t="n">
        <f aca="false">COUNTIFS($A$5:$A$716,A672,$C$5:$C$716,"&gt;"&amp;C672)+1</f>
        <v>2</v>
      </c>
      <c r="G672" s="9" t="n">
        <f aca="false">C672/SUMIFS($C$5:$C$716,$A$5:$A$716,A672)</f>
        <v>0.174041297935103</v>
      </c>
    </row>
    <row r="673" customFormat="false" ht="15" hidden="false" customHeight="false" outlineLevel="0" collapsed="false">
      <c r="A673" s="7" t="s">
        <v>50</v>
      </c>
      <c r="B673" s="7" t="s">
        <v>751</v>
      </c>
      <c r="C673" s="13" t="n">
        <v>336</v>
      </c>
      <c r="D673" s="8"/>
      <c r="E673" s="12" t="n">
        <f aca="false">RANK(C673,$C$5:$C$716)</f>
        <v>143</v>
      </c>
      <c r="F673" s="12" t="n">
        <f aca="false">COUNTIFS($A$5:$A$716,A673,$C$5:$C$716,"&gt;"&amp;C673)+1</f>
        <v>3</v>
      </c>
      <c r="G673" s="9" t="n">
        <f aca="false">C673/SUMIFS($C$5:$C$716,$A$5:$A$716,A673)</f>
        <v>0.165191740412979</v>
      </c>
    </row>
    <row r="674" customFormat="false" ht="15" hidden="false" customHeight="false" outlineLevel="0" collapsed="false">
      <c r="A674" s="7" t="s">
        <v>50</v>
      </c>
      <c r="B674" s="7" t="s">
        <v>752</v>
      </c>
      <c r="C674" s="13" t="n">
        <v>238</v>
      </c>
      <c r="D674" s="8"/>
      <c r="E674" s="12" t="n">
        <f aca="false">RANK(C674,$C$5:$C$716)</f>
        <v>187</v>
      </c>
      <c r="F674" s="12" t="n">
        <f aca="false">COUNTIFS($A$5:$A$716,A674,$C$5:$C$716,"&gt;"&amp;C674)+1</f>
        <v>4</v>
      </c>
      <c r="G674" s="9" t="n">
        <f aca="false">C674/SUMIFS($C$5:$C$716,$A$5:$A$716,A674)</f>
        <v>0.11701081612586</v>
      </c>
    </row>
    <row r="675" customFormat="false" ht="15" hidden="false" customHeight="false" outlineLevel="0" collapsed="false">
      <c r="A675" s="7" t="s">
        <v>50</v>
      </c>
      <c r="B675" s="7" t="s">
        <v>753</v>
      </c>
      <c r="C675" s="13" t="n">
        <v>140</v>
      </c>
      <c r="D675" s="8"/>
      <c r="E675" s="12" t="n">
        <f aca="false">RANK(C675,$C$5:$C$716)</f>
        <v>306</v>
      </c>
      <c r="F675" s="12" t="n">
        <f aca="false">COUNTIFS($A$5:$A$716,A675,$C$5:$C$716,"&gt;"&amp;C675)+1</f>
        <v>5</v>
      </c>
      <c r="G675" s="9" t="n">
        <f aca="false">C675/SUMIFS($C$5:$C$716,$A$5:$A$716,A675)</f>
        <v>0.0688298918387414</v>
      </c>
    </row>
    <row r="676" customFormat="false" ht="15" hidden="false" customHeight="false" outlineLevel="0" collapsed="false">
      <c r="A676" s="7" t="s">
        <v>50</v>
      </c>
      <c r="B676" s="7" t="s">
        <v>754</v>
      </c>
      <c r="C676" s="13" t="n">
        <v>128</v>
      </c>
      <c r="D676" s="8"/>
      <c r="E676" s="12" t="n">
        <f aca="false">RANK(C676,$C$5:$C$716)</f>
        <v>329</v>
      </c>
      <c r="F676" s="12" t="n">
        <f aca="false">COUNTIFS($A$5:$A$716,A676,$C$5:$C$716,"&gt;"&amp;C676)+1</f>
        <v>6</v>
      </c>
      <c r="G676" s="9" t="n">
        <f aca="false">C676/SUMIFS($C$5:$C$716,$A$5:$A$716,A676)</f>
        <v>0.0629301868239921</v>
      </c>
    </row>
    <row r="677" customFormat="false" ht="15" hidden="false" customHeight="false" outlineLevel="0" collapsed="false">
      <c r="A677" s="7" t="s">
        <v>50</v>
      </c>
      <c r="B677" s="7" t="s">
        <v>755</v>
      </c>
      <c r="C677" s="13" t="n">
        <v>124</v>
      </c>
      <c r="D677" s="8"/>
      <c r="E677" s="12" t="n">
        <f aca="false">RANK(C677,$C$5:$C$716)</f>
        <v>337</v>
      </c>
      <c r="F677" s="12" t="n">
        <f aca="false">COUNTIFS($A$5:$A$716,A677,$C$5:$C$716,"&gt;"&amp;C677)+1</f>
        <v>7</v>
      </c>
      <c r="G677" s="9" t="n">
        <f aca="false">C677/SUMIFS($C$5:$C$716,$A$5:$A$716,A677)</f>
        <v>0.0609636184857424</v>
      </c>
    </row>
    <row r="678" customFormat="false" ht="15" hidden="false" customHeight="false" outlineLevel="0" collapsed="false">
      <c r="A678" s="7" t="s">
        <v>50</v>
      </c>
      <c r="B678" s="7" t="s">
        <v>756</v>
      </c>
      <c r="C678" s="13" t="n">
        <v>94</v>
      </c>
      <c r="D678" s="8"/>
      <c r="E678" s="12" t="n">
        <f aca="false">RANK(C678,$C$5:$C$716)</f>
        <v>410</v>
      </c>
      <c r="F678" s="12" t="n">
        <f aca="false">COUNTIFS($A$5:$A$716,A678,$C$5:$C$716,"&gt;"&amp;C678)+1</f>
        <v>8</v>
      </c>
      <c r="G678" s="9" t="n">
        <f aca="false">C678/SUMIFS($C$5:$C$716,$A$5:$A$716,A678)</f>
        <v>0.0462143559488692</v>
      </c>
    </row>
    <row r="679" customFormat="false" ht="15" hidden="false" customHeight="false" outlineLevel="0" collapsed="false">
      <c r="A679" s="7" t="s">
        <v>50</v>
      </c>
      <c r="B679" s="7" t="s">
        <v>757</v>
      </c>
      <c r="C679" s="13" t="n">
        <v>92</v>
      </c>
      <c r="D679" s="8"/>
      <c r="E679" s="12" t="n">
        <f aca="false">RANK(C679,$C$5:$C$716)</f>
        <v>417</v>
      </c>
      <c r="F679" s="12" t="n">
        <f aca="false">COUNTIFS($A$5:$A$716,A679,$C$5:$C$716,"&gt;"&amp;C679)+1</f>
        <v>9</v>
      </c>
      <c r="G679" s="9" t="n">
        <f aca="false">C679/SUMIFS($C$5:$C$716,$A$5:$A$716,A679)</f>
        <v>0.0452310717797443</v>
      </c>
    </row>
    <row r="680" customFormat="false" ht="15" hidden="false" customHeight="false" outlineLevel="0" collapsed="false">
      <c r="A680" s="7" t="s">
        <v>50</v>
      </c>
      <c r="B680" s="7" t="s">
        <v>758</v>
      </c>
      <c r="C680" s="13" t="n">
        <v>83</v>
      </c>
      <c r="D680" s="8"/>
      <c r="E680" s="12" t="n">
        <f aca="false">RANK(C680,$C$5:$C$716)</f>
        <v>442</v>
      </c>
      <c r="F680" s="12" t="n">
        <f aca="false">COUNTIFS($A$5:$A$716,A680,$C$5:$C$716,"&gt;"&amp;C680)+1</f>
        <v>10</v>
      </c>
      <c r="G680" s="9" t="n">
        <f aca="false">C680/SUMIFS($C$5:$C$716,$A$5:$A$716,A680)</f>
        <v>0.0408062930186824</v>
      </c>
    </row>
    <row r="681" customFormat="false" ht="15" hidden="false" customHeight="false" outlineLevel="0" collapsed="false">
      <c r="A681" s="7" t="s">
        <v>50</v>
      </c>
      <c r="B681" s="7" t="s">
        <v>759</v>
      </c>
      <c r="C681" s="13" t="n">
        <v>67</v>
      </c>
      <c r="D681" s="8"/>
      <c r="E681" s="12" t="n">
        <f aca="false">RANK(C681,$C$5:$C$716)</f>
        <v>496</v>
      </c>
      <c r="F681" s="12" t="n">
        <f aca="false">COUNTIFS($A$5:$A$716,A681,$C$5:$C$716,"&gt;"&amp;C681)+1</f>
        <v>11</v>
      </c>
      <c r="G681" s="9" t="n">
        <f aca="false">C681/SUMIFS($C$5:$C$716,$A$5:$A$716,A681)</f>
        <v>0.0329400196656834</v>
      </c>
    </row>
    <row r="682" customFormat="false" ht="15" hidden="false" customHeight="false" outlineLevel="0" collapsed="false">
      <c r="A682" s="7" t="s">
        <v>52</v>
      </c>
      <c r="B682" s="7" t="s">
        <v>52</v>
      </c>
      <c r="C682" s="13" t="n">
        <v>1849</v>
      </c>
      <c r="D682" s="8"/>
      <c r="E682" s="12" t="n">
        <f aca="false">RANK(C682,$C$5:$C$716)</f>
        <v>34</v>
      </c>
      <c r="F682" s="12" t="n">
        <f aca="false">COUNTIFS($A$5:$A$716,A682,$C$5:$C$716,"&gt;"&amp;C682)+1</f>
        <v>1</v>
      </c>
      <c r="G682" s="9" t="n">
        <f aca="false">C682/SUMIFS($C$5:$C$716,$A$5:$A$716,A682)</f>
        <v>1</v>
      </c>
    </row>
    <row r="683" customFormat="false" ht="15" hidden="false" customHeight="false" outlineLevel="0" collapsed="false">
      <c r="A683" s="7" t="s">
        <v>51</v>
      </c>
      <c r="B683" s="7" t="s">
        <v>760</v>
      </c>
      <c r="C683" s="13" t="n">
        <v>888</v>
      </c>
      <c r="D683" s="8"/>
      <c r="E683" s="12" t="n">
        <f aca="false">RANK(C683,$C$5:$C$716)</f>
        <v>59</v>
      </c>
      <c r="F683" s="12" t="n">
        <f aca="false">COUNTIFS($A$5:$A$716,A683,$C$5:$C$716,"&gt;"&amp;C683)+1</f>
        <v>1</v>
      </c>
      <c r="G683" s="9" t="n">
        <f aca="false">C683/SUMIFS($C$5:$C$716,$A$5:$A$716,A683)</f>
        <v>0.564885496183206</v>
      </c>
    </row>
    <row r="684" customFormat="false" ht="15" hidden="false" customHeight="false" outlineLevel="0" collapsed="false">
      <c r="A684" s="7" t="s">
        <v>51</v>
      </c>
      <c r="B684" s="7" t="s">
        <v>761</v>
      </c>
      <c r="C684" s="13" t="n">
        <v>377</v>
      </c>
      <c r="D684" s="8"/>
      <c r="E684" s="12" t="n">
        <f aca="false">RANK(C684,$C$5:$C$716)</f>
        <v>131</v>
      </c>
      <c r="F684" s="12" t="n">
        <f aca="false">COUNTIFS($A$5:$A$716,A684,$C$5:$C$716,"&gt;"&amp;C684)+1</f>
        <v>2</v>
      </c>
      <c r="G684" s="9" t="n">
        <f aca="false">C684/SUMIFS($C$5:$C$716,$A$5:$A$716,A684)</f>
        <v>0.239821882951654</v>
      </c>
    </row>
    <row r="685" customFormat="false" ht="15" hidden="false" customHeight="false" outlineLevel="0" collapsed="false">
      <c r="A685" s="7" t="s">
        <v>51</v>
      </c>
      <c r="B685" s="7" t="s">
        <v>762</v>
      </c>
      <c r="C685" s="13" t="n">
        <v>159</v>
      </c>
      <c r="D685" s="8"/>
      <c r="E685" s="12" t="n">
        <f aca="false">RANK(C685,$C$5:$C$716)</f>
        <v>275</v>
      </c>
      <c r="F685" s="12" t="n">
        <f aca="false">COUNTIFS($A$5:$A$716,A685,$C$5:$C$716,"&gt;"&amp;C685)+1</f>
        <v>3</v>
      </c>
      <c r="G685" s="9" t="n">
        <f aca="false">C685/SUMIFS($C$5:$C$716,$A$5:$A$716,A685)</f>
        <v>0.101145038167939</v>
      </c>
    </row>
    <row r="686" customFormat="false" ht="15" hidden="false" customHeight="false" outlineLevel="0" collapsed="false">
      <c r="A686" s="7" t="s">
        <v>51</v>
      </c>
      <c r="B686" s="7" t="s">
        <v>763</v>
      </c>
      <c r="C686" s="13" t="n">
        <v>76</v>
      </c>
      <c r="D686" s="8"/>
      <c r="E686" s="12" t="n">
        <f aca="false">RANK(C686,$C$5:$C$716)</f>
        <v>467</v>
      </c>
      <c r="F686" s="12" t="n">
        <f aca="false">COUNTIFS($A$5:$A$716,A686,$C$5:$C$716,"&gt;"&amp;C686)+1</f>
        <v>4</v>
      </c>
      <c r="G686" s="9" t="n">
        <f aca="false">C686/SUMIFS($C$5:$C$716,$A$5:$A$716,A686)</f>
        <v>0.0483460559796438</v>
      </c>
    </row>
    <row r="687" customFormat="false" ht="15" hidden="false" customHeight="false" outlineLevel="0" collapsed="false">
      <c r="A687" s="7" t="s">
        <v>51</v>
      </c>
      <c r="B687" s="7" t="s">
        <v>764</v>
      </c>
      <c r="C687" s="13" t="n">
        <v>72</v>
      </c>
      <c r="D687" s="8"/>
      <c r="E687" s="12" t="n">
        <f aca="false">RANK(C687,$C$5:$C$716)</f>
        <v>480</v>
      </c>
      <c r="F687" s="12" t="n">
        <f aca="false">COUNTIFS($A$5:$A$716,A687,$C$5:$C$716,"&gt;"&amp;C687)+1</f>
        <v>5</v>
      </c>
      <c r="G687" s="9" t="n">
        <f aca="false">C687/SUMIFS($C$5:$C$716,$A$5:$A$716,A687)</f>
        <v>0.0458015267175573</v>
      </c>
    </row>
    <row r="688" customFormat="false" ht="15" hidden="false" customHeight="false" outlineLevel="0" collapsed="false">
      <c r="A688" s="7" t="s">
        <v>53</v>
      </c>
      <c r="B688" s="7" t="s">
        <v>765</v>
      </c>
      <c r="C688" s="13" t="n">
        <v>220</v>
      </c>
      <c r="D688" s="8"/>
      <c r="E688" s="12" t="n">
        <f aca="false">RANK(C688,$C$5:$C$716)</f>
        <v>205</v>
      </c>
      <c r="F688" s="12" t="n">
        <f aca="false">COUNTIFS($A$5:$A$716,A688,$C$5:$C$716,"&gt;"&amp;C688)+1</f>
        <v>1</v>
      </c>
      <c r="G688" s="9" t="n">
        <f aca="false">C688/SUMIFS($C$5:$C$716,$A$5:$A$716,A688)</f>
        <v>0.361247947454844</v>
      </c>
    </row>
    <row r="689" customFormat="false" ht="15" hidden="false" customHeight="false" outlineLevel="0" collapsed="false">
      <c r="A689" s="7" t="s">
        <v>53</v>
      </c>
      <c r="B689" s="7" t="s">
        <v>766</v>
      </c>
      <c r="C689" s="13" t="n">
        <v>153</v>
      </c>
      <c r="D689" s="8"/>
      <c r="E689" s="12" t="n">
        <f aca="false">RANK(C689,$C$5:$C$716)</f>
        <v>284</v>
      </c>
      <c r="F689" s="12" t="n">
        <f aca="false">COUNTIFS($A$5:$A$716,A689,$C$5:$C$716,"&gt;"&amp;C689)+1</f>
        <v>2</v>
      </c>
      <c r="G689" s="9" t="n">
        <f aca="false">C689/SUMIFS($C$5:$C$716,$A$5:$A$716,A689)</f>
        <v>0.251231527093596</v>
      </c>
    </row>
    <row r="690" customFormat="false" ht="15" hidden="false" customHeight="false" outlineLevel="0" collapsed="false">
      <c r="A690" s="7" t="s">
        <v>53</v>
      </c>
      <c r="B690" s="7" t="s">
        <v>767</v>
      </c>
      <c r="C690" s="13" t="n">
        <v>130</v>
      </c>
      <c r="D690" s="8"/>
      <c r="E690" s="12" t="n">
        <f aca="false">RANK(C690,$C$5:$C$716)</f>
        <v>325</v>
      </c>
      <c r="F690" s="12" t="n">
        <f aca="false">COUNTIFS($A$5:$A$716,A690,$C$5:$C$716,"&gt;"&amp;C690)+1</f>
        <v>3</v>
      </c>
      <c r="G690" s="9" t="n">
        <f aca="false">C690/SUMIFS($C$5:$C$716,$A$5:$A$716,A690)</f>
        <v>0.213464696223317</v>
      </c>
    </row>
    <row r="691" customFormat="false" ht="15" hidden="false" customHeight="false" outlineLevel="0" collapsed="false">
      <c r="A691" s="7" t="s">
        <v>53</v>
      </c>
      <c r="B691" s="7" t="s">
        <v>768</v>
      </c>
      <c r="C691" s="13" t="n">
        <v>49</v>
      </c>
      <c r="D691" s="8"/>
      <c r="E691" s="12" t="n">
        <f aca="false">RANK(C691,$C$5:$C$716)</f>
        <v>561</v>
      </c>
      <c r="F691" s="12" t="n">
        <f aca="false">COUNTIFS($A$5:$A$716,A691,$C$5:$C$716,"&gt;"&amp;C691)+1</f>
        <v>4</v>
      </c>
      <c r="G691" s="9" t="n">
        <f aca="false">C691/SUMIFS($C$5:$C$716,$A$5:$A$716,A691)</f>
        <v>0.0804597701149425</v>
      </c>
    </row>
    <row r="692" customFormat="false" ht="15" hidden="false" customHeight="false" outlineLevel="0" collapsed="false">
      <c r="A692" s="7" t="s">
        <v>53</v>
      </c>
      <c r="B692" s="7" t="s">
        <v>769</v>
      </c>
      <c r="C692" s="13" t="n">
        <v>31</v>
      </c>
      <c r="D692" s="8"/>
      <c r="E692" s="12" t="n">
        <f aca="false">RANK(C692,$C$5:$C$716)</f>
        <v>673</v>
      </c>
      <c r="F692" s="12" t="n">
        <f aca="false">COUNTIFS($A$5:$A$716,A692,$C$5:$C$716,"&gt;"&amp;C692)+1</f>
        <v>5</v>
      </c>
      <c r="G692" s="9" t="n">
        <f aca="false">C692/SUMIFS($C$5:$C$716,$A$5:$A$716,A692)</f>
        <v>0.0509031198686371</v>
      </c>
    </row>
    <row r="693" customFormat="false" ht="15" hidden="false" customHeight="false" outlineLevel="0" collapsed="false">
      <c r="A693" s="7" t="s">
        <v>53</v>
      </c>
      <c r="B693" s="7" t="s">
        <v>770</v>
      </c>
      <c r="C693" s="13" t="n">
        <v>26</v>
      </c>
      <c r="D693" s="8"/>
      <c r="E693" s="12" t="n">
        <f aca="false">RANK(C693,$C$5:$C$716)</f>
        <v>703</v>
      </c>
      <c r="F693" s="12" t="n">
        <f aca="false">COUNTIFS($A$5:$A$716,A693,$C$5:$C$716,"&gt;"&amp;C693)+1</f>
        <v>6</v>
      </c>
      <c r="G693" s="9" t="n">
        <f aca="false">C693/SUMIFS($C$5:$C$716,$A$5:$A$716,A693)</f>
        <v>0.0426929392446634</v>
      </c>
    </row>
    <row r="694" customFormat="false" ht="15" hidden="false" customHeight="false" outlineLevel="0" collapsed="false">
      <c r="A694" s="7" t="s">
        <v>54</v>
      </c>
      <c r="B694" s="7" t="s">
        <v>54</v>
      </c>
      <c r="C694" s="13" t="n">
        <v>509</v>
      </c>
      <c r="D694" s="8"/>
      <c r="E694" s="12" t="n">
        <f aca="false">RANK(C694,$C$5:$C$716)</f>
        <v>104</v>
      </c>
      <c r="F694" s="12" t="n">
        <f aca="false">COUNTIFS($A$5:$A$716,A694,$C$5:$C$716,"&gt;"&amp;C694)+1</f>
        <v>1</v>
      </c>
      <c r="G694" s="9" t="n">
        <f aca="false">C694/SUMIFS($C$5:$C$716,$A$5:$A$716,A694)</f>
        <v>0.915467625899281</v>
      </c>
    </row>
    <row r="695" customFormat="false" ht="15" hidden="false" customHeight="false" outlineLevel="0" collapsed="false">
      <c r="A695" s="7" t="s">
        <v>54</v>
      </c>
      <c r="B695" s="7" t="s">
        <v>771</v>
      </c>
      <c r="C695" s="13" t="n">
        <v>47</v>
      </c>
      <c r="D695" s="8"/>
      <c r="E695" s="12" t="n">
        <f aca="false">RANK(C695,$C$5:$C$716)</f>
        <v>575</v>
      </c>
      <c r="F695" s="12" t="n">
        <f aca="false">COUNTIFS($A$5:$A$716,A695,$C$5:$C$716,"&gt;"&amp;C695)+1</f>
        <v>2</v>
      </c>
      <c r="G695" s="9" t="n">
        <f aca="false">C695/SUMIFS($C$5:$C$716,$A$5:$A$716,A695)</f>
        <v>0.0845323741007194</v>
      </c>
    </row>
    <row r="696" customFormat="false" ht="15" hidden="false" customHeight="false" outlineLevel="0" collapsed="false">
      <c r="A696" s="7" t="s">
        <v>55</v>
      </c>
      <c r="B696" s="7" t="s">
        <v>772</v>
      </c>
      <c r="C696" s="13" t="n">
        <v>197</v>
      </c>
      <c r="D696" s="8"/>
      <c r="E696" s="12" t="n">
        <f aca="false">RANK(C696,$C$5:$C$716)</f>
        <v>235</v>
      </c>
      <c r="F696" s="12" t="n">
        <f aca="false">COUNTIFS($A$5:$A$716,A696,$C$5:$C$716,"&gt;"&amp;C696)+1</f>
        <v>1</v>
      </c>
      <c r="G696" s="9" t="n">
        <f aca="false">C696/SUMIFS($C$5:$C$716,$A$5:$A$716,A696)</f>
        <v>0.522546419098143</v>
      </c>
    </row>
    <row r="697" customFormat="false" ht="15" hidden="false" customHeight="false" outlineLevel="0" collapsed="false">
      <c r="A697" s="7" t="s">
        <v>55</v>
      </c>
      <c r="B697" s="7" t="s">
        <v>773</v>
      </c>
      <c r="C697" s="13" t="n">
        <v>180</v>
      </c>
      <c r="D697" s="8"/>
      <c r="E697" s="12" t="n">
        <f aca="false">RANK(C697,$C$5:$C$716)</f>
        <v>245</v>
      </c>
      <c r="F697" s="12" t="n">
        <f aca="false">COUNTIFS($A$5:$A$716,A697,$C$5:$C$716,"&gt;"&amp;C697)+1</f>
        <v>2</v>
      </c>
      <c r="G697" s="9" t="n">
        <f aca="false">C697/SUMIFS($C$5:$C$716,$A$5:$A$716,A697)</f>
        <v>0.477453580901857</v>
      </c>
    </row>
    <row r="698" customFormat="false" ht="15" hidden="false" customHeight="false" outlineLevel="0" collapsed="false">
      <c r="A698" s="7" t="s">
        <v>57</v>
      </c>
      <c r="B698" s="7" t="s">
        <v>774</v>
      </c>
      <c r="C698" s="13" t="n">
        <v>187</v>
      </c>
      <c r="D698" s="8"/>
      <c r="E698" s="12" t="n">
        <f aca="false">RANK(C698,$C$5:$C$716)</f>
        <v>240</v>
      </c>
      <c r="F698" s="12" t="n">
        <f aca="false">COUNTIFS($A$5:$A$716,A698,$C$5:$C$716,"&gt;"&amp;C698)+1</f>
        <v>1</v>
      </c>
      <c r="G698" s="9" t="n">
        <f aca="false">C698/SUMIFS($C$5:$C$716,$A$5:$A$716,A698)</f>
        <v>0.492105263157895</v>
      </c>
    </row>
    <row r="699" customFormat="false" ht="15" hidden="false" customHeight="false" outlineLevel="0" collapsed="false">
      <c r="A699" s="7" t="s">
        <v>57</v>
      </c>
      <c r="B699" s="7" t="s">
        <v>775</v>
      </c>
      <c r="C699" s="13" t="n">
        <v>127</v>
      </c>
      <c r="D699" s="8"/>
      <c r="E699" s="12" t="n">
        <f aca="false">RANK(C699,$C$5:$C$716)</f>
        <v>332</v>
      </c>
      <c r="F699" s="12" t="n">
        <f aca="false">COUNTIFS($A$5:$A$716,A699,$C$5:$C$716,"&gt;"&amp;C699)+1</f>
        <v>2</v>
      </c>
      <c r="G699" s="9" t="n">
        <f aca="false">C699/SUMIFS($C$5:$C$716,$A$5:$A$716,A699)</f>
        <v>0.334210526315789</v>
      </c>
    </row>
    <row r="700" customFormat="false" ht="15" hidden="false" customHeight="false" outlineLevel="0" collapsed="false">
      <c r="A700" s="7" t="s">
        <v>57</v>
      </c>
      <c r="B700" s="7" t="s">
        <v>776</v>
      </c>
      <c r="C700" s="13" t="n">
        <v>35</v>
      </c>
      <c r="D700" s="8"/>
      <c r="E700" s="12" t="n">
        <f aca="false">RANK(C700,$C$5:$C$716)</f>
        <v>647</v>
      </c>
      <c r="F700" s="12" t="n">
        <f aca="false">COUNTIFS($A$5:$A$716,A700,$C$5:$C$716,"&gt;"&amp;C700)+1</f>
        <v>3</v>
      </c>
      <c r="G700" s="9" t="n">
        <f aca="false">C700/SUMIFS($C$5:$C$716,$A$5:$A$716,A700)</f>
        <v>0.0921052631578947</v>
      </c>
    </row>
    <row r="701" customFormat="false" ht="15" hidden="false" customHeight="false" outlineLevel="0" collapsed="false">
      <c r="A701" s="7" t="s">
        <v>57</v>
      </c>
      <c r="B701" s="7" t="s">
        <v>777</v>
      </c>
      <c r="C701" s="13" t="n">
        <v>31</v>
      </c>
      <c r="D701" s="8"/>
      <c r="E701" s="12" t="n">
        <f aca="false">RANK(C701,$C$5:$C$716)</f>
        <v>673</v>
      </c>
      <c r="F701" s="12" t="n">
        <f aca="false">COUNTIFS($A$5:$A$716,A701,$C$5:$C$716,"&gt;"&amp;C701)+1</f>
        <v>4</v>
      </c>
      <c r="G701" s="9" t="n">
        <f aca="false">C701/SUMIFS($C$5:$C$716,$A$5:$A$716,A701)</f>
        <v>0.0815789473684211</v>
      </c>
    </row>
    <row r="702" customFormat="false" ht="15" hidden="false" customHeight="false" outlineLevel="0" collapsed="false">
      <c r="A702" s="7" t="s">
        <v>58</v>
      </c>
      <c r="B702" s="7" t="s">
        <v>778</v>
      </c>
      <c r="C702" s="13" t="n">
        <v>114</v>
      </c>
      <c r="D702" s="8"/>
      <c r="E702" s="12" t="n">
        <f aca="false">RANK(C702,$C$5:$C$716)</f>
        <v>362</v>
      </c>
      <c r="F702" s="12" t="n">
        <f aca="false">COUNTIFS($A$5:$A$716,A702,$C$5:$C$716,"&gt;"&amp;C702)+1</f>
        <v>1</v>
      </c>
      <c r="G702" s="9" t="n">
        <f aca="false">C702/SUMIFS($C$5:$C$716,$A$5:$A$716,A702)</f>
        <v>0.447058823529412</v>
      </c>
    </row>
    <row r="703" customFormat="false" ht="15" hidden="false" customHeight="false" outlineLevel="0" collapsed="false">
      <c r="A703" s="7" t="s">
        <v>58</v>
      </c>
      <c r="B703" s="7" t="s">
        <v>779</v>
      </c>
      <c r="C703" s="13" t="n">
        <v>84</v>
      </c>
      <c r="D703" s="8"/>
      <c r="E703" s="12" t="n">
        <f aca="false">RANK(C703,$C$5:$C$716)</f>
        <v>432</v>
      </c>
      <c r="F703" s="12" t="n">
        <f aca="false">COUNTIFS($A$5:$A$716,A703,$C$5:$C$716,"&gt;"&amp;C703)+1</f>
        <v>2</v>
      </c>
      <c r="G703" s="9" t="n">
        <f aca="false">C703/SUMIFS($C$5:$C$716,$A$5:$A$716,A703)</f>
        <v>0.329411764705882</v>
      </c>
    </row>
    <row r="704" customFormat="false" ht="15" hidden="false" customHeight="false" outlineLevel="0" collapsed="false">
      <c r="A704" s="7" t="s">
        <v>58</v>
      </c>
      <c r="B704" s="7" t="s">
        <v>780</v>
      </c>
      <c r="C704" s="13" t="n">
        <v>57</v>
      </c>
      <c r="D704" s="8"/>
      <c r="E704" s="12" t="n">
        <f aca="false">RANK(C704,$C$5:$C$716)</f>
        <v>532</v>
      </c>
      <c r="F704" s="12" t="n">
        <f aca="false">COUNTIFS($A$5:$A$716,A704,$C$5:$C$716,"&gt;"&amp;C704)+1</f>
        <v>3</v>
      </c>
      <c r="G704" s="9" t="n">
        <f aca="false">C704/SUMIFS($C$5:$C$716,$A$5:$A$716,A704)</f>
        <v>0.223529411764706</v>
      </c>
    </row>
    <row r="705" customFormat="false" ht="15" hidden="false" customHeight="false" outlineLevel="0" collapsed="false">
      <c r="A705" s="7" t="s">
        <v>56</v>
      </c>
      <c r="B705" s="7" t="s">
        <v>781</v>
      </c>
      <c r="C705" s="13" t="n">
        <v>171</v>
      </c>
      <c r="D705" s="8"/>
      <c r="E705" s="12" t="n">
        <f aca="false">RANK(C705,$C$5:$C$716)</f>
        <v>261</v>
      </c>
      <c r="F705" s="12" t="n">
        <f aca="false">COUNTIFS($A$5:$A$716,A705,$C$5:$C$716,"&gt;"&amp;C705)+1</f>
        <v>1</v>
      </c>
      <c r="G705" s="9" t="n">
        <f aca="false">C705/SUMIFS($C$5:$C$716,$A$5:$A$716,A705)</f>
        <v>0.733905579399142</v>
      </c>
    </row>
    <row r="706" customFormat="false" ht="15" hidden="false" customHeight="false" outlineLevel="0" collapsed="false">
      <c r="A706" s="7" t="s">
        <v>56</v>
      </c>
      <c r="B706" s="7" t="s">
        <v>782</v>
      </c>
      <c r="C706" s="13" t="n">
        <v>62</v>
      </c>
      <c r="D706" s="8"/>
      <c r="E706" s="12" t="n">
        <f aca="false">RANK(C706,$C$5:$C$716)</f>
        <v>516</v>
      </c>
      <c r="F706" s="12" t="n">
        <f aca="false">COUNTIFS($A$5:$A$716,A706,$C$5:$C$716,"&gt;"&amp;C706)+1</f>
        <v>2</v>
      </c>
      <c r="G706" s="9" t="n">
        <f aca="false">C706/SUMIFS($C$5:$C$716,$A$5:$A$716,A706)</f>
        <v>0.266094420600858</v>
      </c>
    </row>
    <row r="707" customFormat="false" ht="15" hidden="false" customHeight="false" outlineLevel="0" collapsed="false">
      <c r="A707" s="7" t="s">
        <v>59</v>
      </c>
      <c r="B707" s="7" t="s">
        <v>783</v>
      </c>
      <c r="C707" s="13" t="n">
        <v>42</v>
      </c>
      <c r="D707" s="8"/>
      <c r="E707" s="12" t="n">
        <f aca="false">RANK(C707,$C$5:$C$716)</f>
        <v>603</v>
      </c>
      <c r="F707" s="12" t="n">
        <f aca="false">COUNTIFS($A$5:$A$716,A707,$C$5:$C$716,"&gt;"&amp;C707)+1</f>
        <v>1</v>
      </c>
      <c r="G707" s="9" t="n">
        <f aca="false">C707/SUMIFS($C$5:$C$716,$A$5:$A$716,A707)</f>
        <v>0.368421052631579</v>
      </c>
    </row>
    <row r="708" customFormat="false" ht="15" hidden="false" customHeight="false" outlineLevel="0" collapsed="false">
      <c r="A708" s="7" t="s">
        <v>59</v>
      </c>
      <c r="B708" s="7" t="s">
        <v>784</v>
      </c>
      <c r="C708" s="13" t="n">
        <v>41</v>
      </c>
      <c r="D708" s="8"/>
      <c r="E708" s="12" t="n">
        <f aca="false">RANK(C708,$C$5:$C$716)</f>
        <v>609</v>
      </c>
      <c r="F708" s="12" t="n">
        <f aca="false">COUNTIFS($A$5:$A$716,A708,$C$5:$C$716,"&gt;"&amp;C708)+1</f>
        <v>2</v>
      </c>
      <c r="G708" s="9" t="n">
        <f aca="false">C708/SUMIFS($C$5:$C$716,$A$5:$A$716,A708)</f>
        <v>0.359649122807018</v>
      </c>
    </row>
    <row r="709" customFormat="false" ht="15" hidden="false" customHeight="false" outlineLevel="0" collapsed="false">
      <c r="A709" s="7" t="s">
        <v>59</v>
      </c>
      <c r="B709" s="7" t="s">
        <v>785</v>
      </c>
      <c r="C709" s="13" t="n">
        <v>31</v>
      </c>
      <c r="D709" s="8"/>
      <c r="E709" s="12" t="n">
        <f aca="false">RANK(C709,$C$5:$C$716)</f>
        <v>673</v>
      </c>
      <c r="F709" s="12" t="n">
        <f aca="false">COUNTIFS($A$5:$A$716,A709,$C$5:$C$716,"&gt;"&amp;C709)+1</f>
        <v>3</v>
      </c>
      <c r="G709" s="9" t="n">
        <f aca="false">C709/SUMIFS($C$5:$C$716,$A$5:$A$716,A709)</f>
        <v>0.271929824561404</v>
      </c>
    </row>
    <row r="710" customFormat="false" ht="15" hidden="false" customHeight="false" outlineLevel="0" collapsed="false">
      <c r="A710" s="7" t="s">
        <v>61</v>
      </c>
      <c r="B710" s="7" t="s">
        <v>786</v>
      </c>
      <c r="C710" s="13" t="n">
        <v>139</v>
      </c>
      <c r="D710" s="8"/>
      <c r="E710" s="12" t="n">
        <f aca="false">RANK(C710,$C$5:$C$716)</f>
        <v>307</v>
      </c>
      <c r="F710" s="12" t="n">
        <f aca="false">COUNTIFS($A$5:$A$716,A710,$C$5:$C$716,"&gt;"&amp;C710)+1</f>
        <v>1</v>
      </c>
      <c r="G710" s="9" t="n">
        <f aca="false">C710/SUMIFS($C$5:$C$716,$A$5:$A$716,A710)</f>
        <v>1</v>
      </c>
    </row>
    <row r="711" customFormat="false" ht="15" hidden="false" customHeight="false" outlineLevel="0" collapsed="false">
      <c r="A711" s="7" t="s">
        <v>60</v>
      </c>
      <c r="B711" s="7" t="s">
        <v>787</v>
      </c>
      <c r="C711" s="13" t="n">
        <v>116</v>
      </c>
      <c r="D711" s="8"/>
      <c r="E711" s="12" t="n">
        <f aca="false">RANK(C711,$C$5:$C$716)</f>
        <v>357</v>
      </c>
      <c r="F711" s="12" t="n">
        <f aca="false">COUNTIFS($A$5:$A$716,A711,$C$5:$C$716,"&gt;"&amp;C711)+1</f>
        <v>1</v>
      </c>
      <c r="G711" s="9" t="n">
        <f aca="false">C711/SUMIFS($C$5:$C$716,$A$5:$A$716,A711)</f>
        <v>0.517857142857143</v>
      </c>
    </row>
    <row r="712" customFormat="false" ht="15" hidden="false" customHeight="false" outlineLevel="0" collapsed="false">
      <c r="A712" s="7" t="s">
        <v>60</v>
      </c>
      <c r="B712" s="7" t="s">
        <v>788</v>
      </c>
      <c r="C712" s="13" t="n">
        <v>83</v>
      </c>
      <c r="D712" s="8"/>
      <c r="E712" s="12" t="n">
        <f aca="false">RANK(C712,$C$5:$C$716)</f>
        <v>442</v>
      </c>
      <c r="F712" s="12" t="n">
        <f aca="false">COUNTIFS($A$5:$A$716,A712,$C$5:$C$716,"&gt;"&amp;C712)+1</f>
        <v>2</v>
      </c>
      <c r="G712" s="9" t="n">
        <f aca="false">C712/SUMIFS($C$5:$C$716,$A$5:$A$716,A712)</f>
        <v>0.370535714285714</v>
      </c>
    </row>
    <row r="713" customFormat="false" ht="15" hidden="false" customHeight="false" outlineLevel="0" collapsed="false">
      <c r="A713" s="7" t="s">
        <v>60</v>
      </c>
      <c r="B713" s="7" t="s">
        <v>789</v>
      </c>
      <c r="C713" s="13" t="n">
        <v>25</v>
      </c>
      <c r="D713" s="8"/>
      <c r="E713" s="12" t="n">
        <f aca="false">RANK(C713,$C$5:$C$716)</f>
        <v>708</v>
      </c>
      <c r="F713" s="12" t="n">
        <f aca="false">COUNTIFS($A$5:$A$716,A713,$C$5:$C$716,"&gt;"&amp;C713)+1</f>
        <v>3</v>
      </c>
      <c r="G713" s="9" t="n">
        <f aca="false">C713/SUMIFS($C$5:$C$716,$A$5:$A$716,A713)</f>
        <v>0.111607142857143</v>
      </c>
    </row>
    <row r="714" customFormat="false" ht="15" hidden="false" customHeight="false" outlineLevel="0" collapsed="false">
      <c r="A714" s="7" t="s">
        <v>62</v>
      </c>
      <c r="B714" s="7" t="s">
        <v>790</v>
      </c>
      <c r="C714" s="13" t="n">
        <v>50</v>
      </c>
      <c r="D714" s="8"/>
      <c r="E714" s="12" t="n">
        <f aca="false">RANK(C714,$C$5:$C$716)</f>
        <v>555</v>
      </c>
      <c r="F714" s="12" t="n">
        <f aca="false">COUNTIFS($A$5:$A$716,A714,$C$5:$C$716,"&gt;"&amp;C714)+1</f>
        <v>1</v>
      </c>
      <c r="G714" s="9" t="n">
        <f aca="false">C714/SUMIFS($C$5:$C$716,$A$5:$A$716,A714)</f>
        <v>0.581395348837209</v>
      </c>
    </row>
    <row r="715" customFormat="false" ht="15" hidden="false" customHeight="false" outlineLevel="0" collapsed="false">
      <c r="A715" s="7" t="s">
        <v>62</v>
      </c>
      <c r="B715" s="7" t="s">
        <v>791</v>
      </c>
      <c r="C715" s="13" t="n">
        <v>36</v>
      </c>
      <c r="D715" s="8"/>
      <c r="E715" s="12" t="n">
        <f aca="false">RANK(C715,$C$5:$C$716)</f>
        <v>639</v>
      </c>
      <c r="F715" s="12" t="n">
        <f aca="false">COUNTIFS($A$5:$A$716,A715,$C$5:$C$716,"&gt;"&amp;C715)+1</f>
        <v>2</v>
      </c>
      <c r="G715" s="9" t="n">
        <f aca="false">C715/SUMIFS($C$5:$C$716,$A$5:$A$716,A715)</f>
        <v>0.418604651162791</v>
      </c>
    </row>
    <row r="716" customFormat="false" ht="15" hidden="false" customHeight="false" outlineLevel="0" collapsed="false">
      <c r="A716" s="7" t="s">
        <v>63</v>
      </c>
      <c r="B716" s="7" t="s">
        <v>792</v>
      </c>
      <c r="C716" s="13" t="n">
        <v>49</v>
      </c>
      <c r="D716" s="8"/>
      <c r="E716" s="12" t="n">
        <f aca="false">RANK(C716,$C$5:$C$716)</f>
        <v>561</v>
      </c>
      <c r="F716" s="12" t="n">
        <f aca="false">COUNTIFS($A$5:$A$716,A716,$C$5:$C$716,"&gt;"&amp;C716)+1</f>
        <v>1</v>
      </c>
      <c r="G716" s="9" t="n">
        <f aca="false">C716/SUMIFS($C$5:$C$716,$A$5:$A$716,A716)</f>
        <v>1</v>
      </c>
    </row>
    <row r="717" customFormat="false" ht="15" hidden="false" customHeight="false" outlineLevel="0" collapsed="false">
      <c r="A717" s="10"/>
      <c r="B717" s="10" t="s">
        <v>793</v>
      </c>
      <c r="C717" s="11" t="n">
        <f aca="false">SUM(C5:C716)</f>
        <v>443519</v>
      </c>
      <c r="D717" s="10"/>
      <c r="E717" s="10"/>
      <c r="F717" s="10"/>
      <c r="G717" s="10"/>
    </row>
    <row r="718" customFormat="false" ht="15" hidden="false" customHeight="false" outlineLevel="0" collapsed="false">
      <c r="A718" s="10"/>
      <c r="B718" s="10" t="s">
        <v>794</v>
      </c>
      <c r="C718" s="15" t="n">
        <v>443519</v>
      </c>
      <c r="D718" s="10"/>
      <c r="E718" s="10"/>
      <c r="F718" s="10"/>
      <c r="G718" s="10"/>
    </row>
    <row r="719" customFormat="false" ht="15" hidden="false" customHeight="false" outlineLevel="0" collapsed="false">
      <c r="A719" s="10"/>
      <c r="B719" s="10" t="s">
        <v>75</v>
      </c>
      <c r="C719" s="11" t="n">
        <f aca="false">C717-C718</f>
        <v>0</v>
      </c>
      <c r="D719" s="10"/>
      <c r="E719" s="10"/>
      <c r="F719" s="10"/>
      <c r="G719" s="10"/>
    </row>
  </sheetData>
  <autoFilter ref="A4:G7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2026-10-22T20:15:25Z</dcterms:created>
  <dc:creator>openpyxl</dc:creator>
  <dc:description/>
  <dc:language>en-US</dc:language>
  <cp:lastModifiedBy/>
  <dcterms:modified xsi:type="dcterms:W3CDTF">2026-10-22T20:15:25Z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